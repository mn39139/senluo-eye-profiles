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项目概览" sheetId="1" r:id="rId1"/>
    <sheet name="业务流程分析" sheetId="2" r:id="rId2"/>
    <sheet name="解决方案架构" sheetId="3" r:id="rId3"/>
    <sheet name="功能模块清单" sheetId="4" r:id="rId4"/>
    <sheet name="数据模型设计" sheetId="5" r:id="rId5"/>
    <sheet name="审批流程设计" sheetId="6" r:id="rId6"/>
    <sheet name="AI能力应用" sheetId="7" r:id="rId7"/>
    <sheet name="权限体系" sheetId="8" r:id="rId8"/>
    <sheet name="报表看板设计" sheetId="9" r:id="rId9"/>
    <sheet name="实施路径" sheetId="10" r:id="rId10"/>
    <sheet name="风险评估" sheetId="11" r:id="rId11"/>
    <sheet name="成本估算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<sst xmlns="http://schemas.openxmlformats.org/spreadsheetml/2006/main" count="1195" uniqueCount="662">
  <si>
    <t>钉钉AI表格+OA审批 开票流程数字化解决方案</t>
  </si>
  <si>
    <t>项目</t>
  </si>
  <si>
    <t>内容</t>
  </si>
  <si>
    <t>项目名称</t>
  </si>
  <si>
    <t>文档版本</t>
  </si>
  <si>
    <t>V2.0</t>
  </si>
  <si>
    <t>编制日期</t>
  </si>
  <si>
    <t>2026-06-06</t>
  </si>
  <si>
    <t>文档性质</t>
  </si>
  <si>
    <t>解决方案与功能清单</t>
  </si>
  <si>
    <t>项目背景</t>
  </si>
  <si>
    <t>企业开票流程涉及运营、财务、法务多部门协作，当前依赖线下表格和手工流转，存在数据孤岛、流程不透明、效率低下等痛点。</t>
  </si>
  <si>
    <t>项目目标</t>
  </si>
  <si>
    <t>基于钉钉AI表格+OA审批能力，构建"数据驱动+流程自动化+AI赋能"的开票流程数字化体系，实现全流程在线化、自动化、智能化。</t>
  </si>
  <si>
    <t>核心痛点</t>
  </si>
  <si>
    <t>序号</t>
  </si>
  <si>
    <t>痛点描述</t>
  </si>
  <si>
    <t>1</t>
  </si>
  <si>
    <t>数据孤岛：各环节使用独立Excel，数据无法实时共享</t>
  </si>
  <si>
    <t>2</t>
  </si>
  <si>
    <t>流程割裂：审批与数据管理分离，需二次录入</t>
  </si>
  <si>
    <t>3</t>
  </si>
  <si>
    <t>进度不透明：无法实时追踪开票进度，依赖人工催办</t>
  </si>
  <si>
    <t>4</t>
  </si>
  <si>
    <t>统计滞后：报表依赖人工汇总，决策数据延迟</t>
  </si>
  <si>
    <t>5</t>
  </si>
  <si>
    <t>风险不可控：缺乏异常预警机制，超期/超额风险难发现</t>
  </si>
  <si>
    <t>业务流程分析 — AS-IS vs TO-BE</t>
  </si>
  <si>
    <t>AS-IS 现状流程</t>
  </si>
  <si>
    <t>步骤</t>
  </si>
  <si>
    <t>流程环节</t>
  </si>
  <si>
    <t>痛点</t>
  </si>
  <si>
    <t>影响</t>
  </si>
  <si>
    <t>运营线下填表提交开票需求</t>
  </si>
  <si>
    <t>纸质/Excel单据易丢失</t>
  </si>
  <si>
    <t>数据遗漏风险高</t>
  </si>
  <si>
    <t>需求人工汇总到总表</t>
  </si>
  <si>
    <t>手工汇总耗时易错</t>
  </si>
  <si>
    <t>效率低、错误率高</t>
  </si>
  <si>
    <t>财务线下签合同</t>
  </si>
  <si>
    <t>合同版本混乱</t>
  </si>
  <si>
    <t>法律风险</t>
  </si>
  <si>
    <t>线下提交用印申请</t>
  </si>
  <si>
    <t>用印状态无法追踪</t>
  </si>
  <si>
    <t>流程不透明</t>
  </si>
  <si>
    <t>线下提交付款申请</t>
  </si>
  <si>
    <t>付款进度不透明</t>
  </si>
  <si>
    <t>资金管控难</t>
  </si>
  <si>
    <t>6</t>
  </si>
  <si>
    <t>人工跟踪开票进度</t>
  </si>
  <si>
    <t>进度依赖人工催办</t>
  </si>
  <si>
    <t>响应滞后</t>
  </si>
  <si>
    <t>TO-BE 目标流程</t>
  </si>
  <si>
    <t>运营通过AI表格表单提交需求</t>
  </si>
  <si>
    <t>在线提交，数据结构化</t>
  </si>
  <si>
    <t>零纸质、零遗漏</t>
  </si>
  <si>
    <t>需求自动汇总到AI表格</t>
  </si>
  <si>
    <t>实时汇总，零人工</t>
  </si>
  <si>
    <t>效率提升90%</t>
  </si>
  <si>
    <t>财务在线签合同，OA审批流转</t>
  </si>
  <si>
    <t>电子化签署，全程留痕</t>
  </si>
  <si>
    <t>合规可追溯</t>
  </si>
  <si>
    <t>用印申请OA审批，状态实时可查</t>
  </si>
  <si>
    <t>流程透明，自动提醒</t>
  </si>
  <si>
    <t>进度实时可见</t>
  </si>
  <si>
    <t>付款申请OA审批，关联合同数据</t>
  </si>
  <si>
    <t>数据联动，防错防漏</t>
  </si>
  <si>
    <t>准确率提升</t>
  </si>
  <si>
    <t>开票进度AI表格自动跟踪</t>
  </si>
  <si>
    <t>自动催办，智能预警</t>
  </si>
  <si>
    <t>超期率降低80%</t>
  </si>
  <si>
    <t>解决方案架构设计</t>
  </si>
  <si>
    <t>架构层级</t>
  </si>
  <si>
    <t>核心组件</t>
  </si>
  <si>
    <t>说明</t>
  </si>
  <si>
    <t>展示层</t>
  </si>
  <si>
    <t>钉钉工作台 | 消息通知 | 待办中心 | 仪表盘</t>
  </si>
  <si>
    <t>用户统一入口，多端适配</t>
  </si>
  <si>
    <t>应用层</t>
  </si>
  <si>
    <t>需求管理 | 合同管理 | 用印管理 | 付款管理 | 开票管理 | 手续费管理</t>
  </si>
  <si>
    <t>六大业务模块覆盖全流程</t>
  </si>
  <si>
    <t>能力层</t>
  </si>
  <si>
    <t>AI表格(数据表/表单/视图/仪表盘/自动化/高级权限)</t>
  </si>
  <si>
    <t>数据管理核心能力</t>
  </si>
  <si>
    <t>OA审批(流程引擎/条件分支/动态审批人/审批回调/批量审批)</t>
  </si>
  <si>
    <t>流程自动化核心能力</t>
  </si>
  <si>
    <t>AI能力(字段Agent/智能分析/AI仪表盘/透视表/智能公式)</t>
  </si>
  <si>
    <t>智能化增强能力</t>
  </si>
  <si>
    <t>数据层</t>
  </si>
  <si>
    <t>供应商主数据 | 需求数据 | 合同数据 | 付款数据 | 开票数据 | 审批数据</t>
  </si>
  <si>
    <t>结构化数据资产</t>
  </si>
  <si>
    <t>技术架构说明</t>
  </si>
  <si>
    <t>技术维度</t>
  </si>
  <si>
    <t>技术选型</t>
  </si>
  <si>
    <t>前端</t>
  </si>
  <si>
    <t>钉钉原生客户端（PC/移动端）</t>
  </si>
  <si>
    <t>零开发，开箱即用</t>
  </si>
  <si>
    <t>后端</t>
  </si>
  <si>
    <t>钉钉云+企业自有系统</t>
  </si>
  <si>
    <t>混合部署，灵活扩展</t>
  </si>
  <si>
    <t>数据存储</t>
  </si>
  <si>
    <t>AI表格（千万热行级）+ 数据连接中心</t>
  </si>
  <si>
    <t>海量数据高性能存储</t>
  </si>
  <si>
    <t>集成</t>
  </si>
  <si>
    <t>开放API + 连接器 + Stream推送</t>
  </si>
  <si>
    <t>与企业现有系统无缝对接</t>
  </si>
  <si>
    <t>功能模块清单</t>
  </si>
  <si>
    <t>模块编号</t>
  </si>
  <si>
    <t>一级模块</t>
  </si>
  <si>
    <t>二级模块</t>
  </si>
  <si>
    <t>功能点</t>
  </si>
  <si>
    <t>功能描述</t>
  </si>
  <si>
    <t>优先级</t>
  </si>
  <si>
    <t>钉钉能力映射</t>
  </si>
  <si>
    <t>实现方式</t>
  </si>
  <si>
    <t>M01-01</t>
  </si>
  <si>
    <t>需求管理</t>
  </si>
  <si>
    <t>需求提交</t>
  </si>
  <si>
    <t>运营通过表单提交开票需求</t>
  </si>
  <si>
    <t>P0</t>
  </si>
  <si>
    <t>AI表格-表单</t>
  </si>
  <si>
    <t>表单+自动化</t>
  </si>
  <si>
    <t>M01-02</t>
  </si>
  <si>
    <t>需求汇总</t>
  </si>
  <si>
    <t>自动汇总所有需求到汇总表</t>
  </si>
  <si>
    <t>AI表格-自动化</t>
  </si>
  <si>
    <t>自动化工作流</t>
  </si>
  <si>
    <t>M01-03</t>
  </si>
  <si>
    <t>需求匹配</t>
  </si>
  <si>
    <t>需求与供应商自动匹配</t>
  </si>
  <si>
    <t>P1</t>
  </si>
  <si>
    <t>AI表格-关联字段</t>
  </si>
  <si>
    <t>关联+公式</t>
  </si>
  <si>
    <t>M01-04</t>
  </si>
  <si>
    <t>需求变更</t>
  </si>
  <si>
    <t>支持需求修改与版本追踪</t>
  </si>
  <si>
    <t>AI表格-字段</t>
  </si>
  <si>
    <t>修改记录</t>
  </si>
  <si>
    <t>M01-05</t>
  </si>
  <si>
    <t>需求审批</t>
  </si>
  <si>
    <t>主管审核需求合理性</t>
  </si>
  <si>
    <t>OA审批</t>
  </si>
  <si>
    <t>审批流</t>
  </si>
  <si>
    <t>M02-01</t>
  </si>
  <si>
    <t>合同管理</t>
  </si>
  <si>
    <t>合同创建</t>
  </si>
  <si>
    <t>财务创建合同，关联需求</t>
  </si>
  <si>
    <t>AI表格+OA审批</t>
  </si>
  <si>
    <t>表单+审批</t>
  </si>
  <si>
    <t>M02-02</t>
  </si>
  <si>
    <t>合同审批</t>
  </si>
  <si>
    <t>法务审核合同条款</t>
  </si>
  <si>
    <t>M02-03</t>
  </si>
  <si>
    <t>合同归档</t>
  </si>
  <si>
    <t>审批通过后自动归档</t>
  </si>
  <si>
    <t>M02-04</t>
  </si>
  <si>
    <t>合同查询</t>
  </si>
  <si>
    <t>按供应商/状态/时间查询</t>
  </si>
  <si>
    <t>AI表格-视图</t>
  </si>
  <si>
    <t>筛选视图</t>
  </si>
  <si>
    <t>M03-01</t>
  </si>
  <si>
    <t>用印管理</t>
  </si>
  <si>
    <t>用印申请</t>
  </si>
  <si>
    <t>提交用印申请，关联合同</t>
  </si>
  <si>
    <t>M03-02</t>
  </si>
  <si>
    <t>用印审批</t>
  </si>
  <si>
    <t>公章管理员审批</t>
  </si>
  <si>
    <t>M03-03</t>
  </si>
  <si>
    <t>用印状态跟踪</t>
  </si>
  <si>
    <t>实时查看用印进度</t>
  </si>
  <si>
    <t>看板视图</t>
  </si>
  <si>
    <t>M03-04</t>
  </si>
  <si>
    <t>用印完成通知</t>
  </si>
  <si>
    <t>用印完成自动通知</t>
  </si>
  <si>
    <t>消息通知</t>
  </si>
  <si>
    <t>M04-01</t>
  </si>
  <si>
    <t>付款管理</t>
  </si>
  <si>
    <t>付款申请</t>
  </si>
  <si>
    <t>提交付款申请，关联合同</t>
  </si>
  <si>
    <t>M04-02</t>
  </si>
  <si>
    <t>付款审批</t>
  </si>
  <si>
    <t>财务审核→领导审批</t>
  </si>
  <si>
    <t>OA审批-条件分支</t>
  </si>
  <si>
    <t>条件审批</t>
  </si>
  <si>
    <t>M04-03</t>
  </si>
  <si>
    <t>付款执行</t>
  </si>
  <si>
    <t>审批通过后执行付款</t>
  </si>
  <si>
    <t>M04-04</t>
  </si>
  <si>
    <t>付款确认</t>
  </si>
  <si>
    <t>确认付款完成，更新状态</t>
  </si>
  <si>
    <t>AI表格</t>
  </si>
  <si>
    <t>状态更新</t>
  </si>
  <si>
    <t>M05-01</t>
  </si>
  <si>
    <t>开票管理</t>
  </si>
  <si>
    <t>开票任务生成</t>
  </si>
  <si>
    <t>合同签订后自动生成开票任务</t>
  </si>
  <si>
    <t>M05-02</t>
  </si>
  <si>
    <t>开票进度跟踪</t>
  </si>
  <si>
    <t>实时追踪开票状态</t>
  </si>
  <si>
    <t>M05-03</t>
  </si>
  <si>
    <t>开票催办提醒</t>
  </si>
  <si>
    <t>超期未开票自动催办</t>
  </si>
  <si>
    <t>定时触发</t>
  </si>
  <si>
    <t>M05-04</t>
  </si>
  <si>
    <t>开票确认</t>
  </si>
  <si>
    <t>确认发票已开具，上传附件</t>
  </si>
  <si>
    <t>附件字段</t>
  </si>
  <si>
    <t>M05-05</t>
  </si>
  <si>
    <t>开票核验</t>
  </si>
  <si>
    <t>AI识别发票信息自动核验</t>
  </si>
  <si>
    <t>P2</t>
  </si>
  <si>
    <t>AI表格-AI字段Agent</t>
  </si>
  <si>
    <t>图片识别</t>
  </si>
  <si>
    <t>M06-01</t>
  </si>
  <si>
    <t>手续费管理</t>
  </si>
  <si>
    <t>手续费申请</t>
  </si>
  <si>
    <t>提交手续费申请</t>
  </si>
  <si>
    <t>M06-02</t>
  </si>
  <si>
    <t>手续费审批</t>
  </si>
  <si>
    <t>M06-03</t>
  </si>
  <si>
    <t>手续费统计</t>
  </si>
  <si>
    <t>按供应商/时间统计</t>
  </si>
  <si>
    <t>AI表格-透视表</t>
  </si>
  <si>
    <t>透视表视图</t>
  </si>
  <si>
    <t>M07-01</t>
  </si>
  <si>
    <t>数据分析</t>
  </si>
  <si>
    <t>经营看板</t>
  </si>
  <si>
    <t>全局经营数据可视化</t>
  </si>
  <si>
    <t>AI表格-AI仪表盘</t>
  </si>
  <si>
    <t>AI仪表盘</t>
  </si>
  <si>
    <t>M07-02</t>
  </si>
  <si>
    <t>需求分析报表</t>
  </si>
  <si>
    <t>需求量趋势/分布分析</t>
  </si>
  <si>
    <t>M07-03</t>
  </si>
  <si>
    <t>开票进度报表</t>
  </si>
  <si>
    <t>各供应商开票进度</t>
  </si>
  <si>
    <t>AI表格-仪表盘</t>
  </si>
  <si>
    <t>图表组件</t>
  </si>
  <si>
    <t>M07-04</t>
  </si>
  <si>
    <t>差额分析报表</t>
  </si>
  <si>
    <t>需求vs已开票差额</t>
  </si>
  <si>
    <t>AI表格-公式</t>
  </si>
  <si>
    <t>智能公式</t>
  </si>
  <si>
    <t>M07-05</t>
  </si>
  <si>
    <t>费用汇总报表</t>
  </si>
  <si>
    <t>手续费/付款汇总</t>
  </si>
  <si>
    <t>M07-06</t>
  </si>
  <si>
    <t>AI智能分析</t>
  </si>
  <si>
    <t>对话式数据问答</t>
  </si>
  <si>
    <t>AI表格-AI助理</t>
  </si>
  <si>
    <t>M08-01</t>
  </si>
  <si>
    <t>系统管理</t>
  </si>
  <si>
    <t>供应商管理</t>
  </si>
  <si>
    <t>供应商基础信息维护</t>
  </si>
  <si>
    <t>数据表</t>
  </si>
  <si>
    <t>M08-02</t>
  </si>
  <si>
    <t>权限管理</t>
  </si>
  <si>
    <t>按角色配置数据/功能权限</t>
  </si>
  <si>
    <t>AI表格-高级权限</t>
  </si>
  <si>
    <t>角色权限</t>
  </si>
  <si>
    <t>M08-03</t>
  </si>
  <si>
    <t>流程配置</t>
  </si>
  <si>
    <t>审批流程节点/条件配置</t>
  </si>
  <si>
    <t>流程设计</t>
  </si>
  <si>
    <t>M08-04</t>
  </si>
  <si>
    <t>数据备份</t>
  </si>
  <si>
    <t>定期数据备份与恢复</t>
  </si>
  <si>
    <t>导出功能</t>
  </si>
  <si>
    <t>数据模型设计</t>
  </si>
  <si>
    <t>字段名称</t>
  </si>
  <si>
    <t>字段类型</t>
  </si>
  <si>
    <t>约束/说明</t>
  </si>
  <si>
    <t>备注</t>
  </si>
  <si>
    <t>供应商主数据表</t>
  </si>
  <si>
    <t>供应商ID</t>
  </si>
  <si>
    <t>文本</t>
  </si>
  <si>
    <t>主键</t>
  </si>
  <si>
    <t>自动生成</t>
  </si>
  <si>
    <t>供应商名称</t>
  </si>
  <si>
    <t>必填</t>
  </si>
  <si>
    <t/>
  </si>
  <si>
    <t>统一社会信用代码</t>
  </si>
  <si>
    <t>唯一</t>
  </si>
  <si>
    <t>18位</t>
  </si>
  <si>
    <t>开户银行</t>
  </si>
  <si>
    <t>银行账号</t>
  </si>
  <si>
    <t>联系人</t>
  </si>
  <si>
    <t>联系电话</t>
  </si>
  <si>
    <t>合作状态</t>
  </si>
  <si>
    <t>单选</t>
  </si>
  <si>
    <t>选项:合作中/暂停/终止</t>
  </si>
  <si>
    <t>首次合作日期</t>
  </si>
  <si>
    <t>日期</t>
  </si>
  <si>
    <t>需求申请表</t>
  </si>
  <si>
    <t>需求ID</t>
  </si>
  <si>
    <t>申请日期</t>
  </si>
  <si>
    <t>申请人</t>
  </si>
  <si>
    <t>人员</t>
  </si>
  <si>
    <t>钉钉人员字段</t>
  </si>
  <si>
    <t>所属部门</t>
  </si>
  <si>
    <t>部门</t>
  </si>
  <si>
    <t>钉钉部门字段</t>
  </si>
  <si>
    <t>供应商</t>
  </si>
  <si>
    <t>关联字段</t>
  </si>
  <si>
    <t>→供应商主数据</t>
  </si>
  <si>
    <t>关联查询</t>
  </si>
  <si>
    <t>发票类型</t>
  </si>
  <si>
    <t>选项:专票/普票</t>
  </si>
  <si>
    <t>发票金额</t>
  </si>
  <si>
    <t>数字</t>
  </si>
  <si>
    <t>不含税</t>
  </si>
  <si>
    <t>税额</t>
  </si>
  <si>
    <t>公式</t>
  </si>
  <si>
    <t>价税合计</t>
  </si>
  <si>
    <t>需求说明</t>
  </si>
  <si>
    <t>紧急程度</t>
  </si>
  <si>
    <t>选项:普通/紧急</t>
  </si>
  <si>
    <t>审批状态</t>
  </si>
  <si>
    <t>选项:待审批/审批中/已通过/已拒绝</t>
  </si>
  <si>
    <t>关联合同ID</t>
  </si>
  <si>
    <t>→合同表</t>
  </si>
  <si>
    <t>创建时间</t>
  </si>
  <si>
    <t>自动</t>
  </si>
  <si>
    <t>系统生成</t>
  </si>
  <si>
    <t>更新时间</t>
  </si>
  <si>
    <t>需求汇总表</t>
  </si>
  <si>
    <t>汇总ID</t>
  </si>
  <si>
    <t>统计周期</t>
  </si>
  <si>
    <t>选项:月/季/年</t>
  </si>
  <si>
    <t>需求笔数</t>
  </si>
  <si>
    <t>公式COUNT</t>
  </si>
  <si>
    <t>自动统计</t>
  </si>
  <si>
    <t>需求总金额</t>
  </si>
  <si>
    <t>公式SUM</t>
  </si>
  <si>
    <t>自动汇总</t>
  </si>
  <si>
    <t>已签约金额</t>
  </si>
  <si>
    <t>差额</t>
  </si>
  <si>
    <t>完成率</t>
  </si>
  <si>
    <t>合同管理表</t>
  </si>
  <si>
    <t>合同ID</t>
  </si>
  <si>
    <t>合同编号</t>
  </si>
  <si>
    <t>合同名称</t>
  </si>
  <si>
    <t>合同金额</t>
  </si>
  <si>
    <t>签约日期</t>
  </si>
  <si>
    <t>合同状态</t>
  </si>
  <si>
    <t>选项:草稿/审批中/已签约/已终止</t>
  </si>
  <si>
    <t>关联需求ID</t>
  </si>
  <si>
    <t>→需求申请表</t>
  </si>
  <si>
    <t>合同附件</t>
  </si>
  <si>
    <t>附件</t>
  </si>
  <si>
    <t>支持PDF/图片</t>
  </si>
  <si>
    <t>用印状态</t>
  </si>
  <si>
    <t>选项:待用印/用印中/已完成</t>
  </si>
  <si>
    <t>创建人</t>
  </si>
  <si>
    <t>付款申请表</t>
  </si>
  <si>
    <t>付款ID</t>
  </si>
  <si>
    <t>付款金额</t>
  </si>
  <si>
    <t>付款方式</t>
  </si>
  <si>
    <t>选项:银行转账/承兑汇票</t>
  </si>
  <si>
    <t>→合同管理表</t>
  </si>
  <si>
    <t>付款状态</t>
  </si>
  <si>
    <t>选项:待审批/审批中/已付款/已拒绝</t>
  </si>
  <si>
    <t>付款凭证</t>
  </si>
  <si>
    <t>付款日期</t>
  </si>
  <si>
    <t>开票进度表</t>
  </si>
  <si>
    <t>开票ID</t>
  </si>
  <si>
    <t>开票金额</t>
  </si>
  <si>
    <t>发票号码</t>
  </si>
  <si>
    <t>开票状态</t>
  </si>
  <si>
    <t>选项:待开票/开票中/已开票/已作废</t>
  </si>
  <si>
    <t>申请开票日期</t>
  </si>
  <si>
    <t>实际开票日期</t>
  </si>
  <si>
    <t>发票附件</t>
  </si>
  <si>
    <t>附件/图片</t>
  </si>
  <si>
    <t>支持图片上传</t>
  </si>
  <si>
    <t>AI识别结果</t>
  </si>
  <si>
    <t>AI字段-图片识别</t>
  </si>
  <si>
    <t>AI自动提取</t>
  </si>
  <si>
    <t>超期天数</t>
  </si>
  <si>
    <t>催办次数</t>
  </si>
  <si>
    <t>默认0</t>
  </si>
  <si>
    <t>手续费申请表</t>
  </si>
  <si>
    <t>手续费ID</t>
  </si>
  <si>
    <t>手续费金额</t>
  </si>
  <si>
    <t>手续费类型</t>
  </si>
  <si>
    <t>选项:服务费/代理费/其他</t>
  </si>
  <si>
    <t>审批流程设计</t>
  </si>
  <si>
    <t>流程名称</t>
  </si>
  <si>
    <t>流程节点</t>
  </si>
  <si>
    <t>条件分支</t>
  </si>
  <si>
    <t>超时策略</t>
  </si>
  <si>
    <t>需求审批流</t>
  </si>
  <si>
    <t>发起人提交 → 部门主管审批 → 财务部确认 → 结束</t>
  </si>
  <si>
    <t>金额&gt;50万增加总经理审批节点</t>
  </si>
  <si>
    <t>24小时未处理自动提醒，72小时升级</t>
  </si>
  <si>
    <t>合同审批流</t>
  </si>
  <si>
    <t>财务发起 → 法务审核 → 部门负责人审批 → 财务总监审批 → 结束</t>
  </si>
  <si>
    <t>金额&gt;100万增加CEO审批</t>
  </si>
  <si>
    <t>24小时未处理自动提醒</t>
  </si>
  <si>
    <t>用印审批流</t>
  </si>
  <si>
    <t>申请人提交 → 部门负责人审批 → 公章管理员审批 → 结束</t>
  </si>
  <si>
    <t>合同类型=特殊合同增加法务审核</t>
  </si>
  <si>
    <t>12小时未处理自动提醒</t>
  </si>
  <si>
    <t>付款审批流</t>
  </si>
  <si>
    <t>申请人提交 → 财务审核 → 条件分支(金额≤5万→财务经理审批 / 金额&gt;5万→财务总监审批→总经理审批) → 结束</t>
  </si>
  <si>
    <t>金额≤5万→财务经理审批；金额&gt;5万→财务总监审批→总经理审批</t>
  </si>
  <si>
    <t>24小时未处理自动提醒，48小时升级</t>
  </si>
  <si>
    <t>手续费审批流</t>
  </si>
  <si>
    <t>申请人提交 → 财务审核 → 部门负责人审批 → 结束</t>
  </si>
  <si>
    <t>金额&gt;10万增加总经理审批</t>
  </si>
  <si>
    <t>AI能力应用</t>
  </si>
  <si>
    <t>场景编号</t>
  </si>
  <si>
    <t>业务场景</t>
  </si>
  <si>
    <t>AI能力</t>
  </si>
  <si>
    <t>钉钉能力组件</t>
  </si>
  <si>
    <t>预期效果</t>
  </si>
  <si>
    <t>AI-01</t>
  </si>
  <si>
    <t>发票信息自动识别</t>
  </si>
  <si>
    <t>AI图片识别</t>
  </si>
  <si>
    <t>AI字段Agent-图片识别</t>
  </si>
  <si>
    <t>上传发票图片，AI自动提取发票号码、金额、日期</t>
  </si>
  <si>
    <t>减少80%手工录入</t>
  </si>
  <si>
    <t>AI-02</t>
  </si>
  <si>
    <t>智能数据填报</t>
  </si>
  <si>
    <t>AI生成文本</t>
  </si>
  <si>
    <t>AI字段Agent-AI生成文本</t>
  </si>
  <si>
    <t>输入供应商名称，AI自动补全信用代码、银行信息</t>
  </si>
  <si>
    <t>提升填报效率60%</t>
  </si>
  <si>
    <t>AI-03</t>
  </si>
  <si>
    <t>开票进度智能分析</t>
  </si>
  <si>
    <t>AI表格助理</t>
  </si>
  <si>
    <t>对话式查询"某供应商开票进度"</t>
  </si>
  <si>
    <t>零门槛数据分析</t>
  </si>
  <si>
    <t>AI-04</t>
  </si>
  <si>
    <t>经营数据可视化</t>
  </si>
  <si>
    <t>一句话生成经营看板</t>
  </si>
  <si>
    <t>10秒生成报表</t>
  </si>
  <si>
    <t>AI-05</t>
  </si>
  <si>
    <t>异常数据预警</t>
  </si>
  <si>
    <t>AI智能公式</t>
  </si>
  <si>
    <t>AI字段Agent-智能公式</t>
  </si>
  <si>
    <t>自动计算超期天数，标红预警</t>
  </si>
  <si>
    <t>风险提前3天发现</t>
  </si>
  <si>
    <t>AI-06</t>
  </si>
  <si>
    <t>合同条款审查</t>
  </si>
  <si>
    <t>AI文本分析</t>
  </si>
  <si>
    <t>AI辅助审查合同关键条款</t>
  </si>
  <si>
    <t>降低法务审查时间50%</t>
  </si>
  <si>
    <t>AI-07</t>
  </si>
  <si>
    <t>多语言供应商沟通</t>
  </si>
  <si>
    <t>AI翻译</t>
  </si>
  <si>
    <t>AI字段Agent-AI翻译</t>
  </si>
  <si>
    <t>供应商信息自动翻译13种语言</t>
  </si>
  <si>
    <t>支持跨国业务</t>
  </si>
  <si>
    <t>AI-08</t>
  </si>
  <si>
    <t>审批数据智能同步</t>
  </si>
  <si>
    <t>数据连接中心</t>
  </si>
  <si>
    <t>OA审批数据同步</t>
  </si>
  <si>
    <t>审批数据自动同步到AI表格</t>
  </si>
  <si>
    <t>零人工数据搬运</t>
  </si>
  <si>
    <t>角色权限矩阵</t>
  </si>
  <si>
    <t>角色</t>
  </si>
  <si>
    <t>供应商数据</t>
  </si>
  <si>
    <t>需求数据</t>
  </si>
  <si>
    <t>合同数据</t>
  </si>
  <si>
    <t>付款数据</t>
  </si>
  <si>
    <t>开票数据</t>
  </si>
  <si>
    <t>手续费数据</t>
  </si>
  <si>
    <t>审批权限</t>
  </si>
  <si>
    <t>运营人员</t>
  </si>
  <si>
    <t>查看</t>
  </si>
  <si>
    <t>创建/查看本人</t>
  </si>
  <si>
    <t>查看/编辑</t>
  </si>
  <si>
    <t>提交需求/手续费</t>
  </si>
  <si>
    <t>部门主管</t>
  </si>
  <si>
    <t>查看/审批本部门</t>
  </si>
  <si>
    <t>查看本部门</t>
  </si>
  <si>
    <t>审批需求/手续费</t>
  </si>
  <si>
    <t>财务人员</t>
  </si>
  <si>
    <t>查看全部</t>
  </si>
  <si>
    <t>创建/编辑/查看全部</t>
  </si>
  <si>
    <t>编辑/查看全部</t>
  </si>
  <si>
    <t>查看/审批全部</t>
  </si>
  <si>
    <t>审批合同/付款/手续费</t>
  </si>
  <si>
    <t>法务人员</t>
  </si>
  <si>
    <t>查看/审批</t>
  </si>
  <si>
    <t>审批合同</t>
  </si>
  <si>
    <t>公章管理员</t>
  </si>
  <si>
    <t>审批用印</t>
  </si>
  <si>
    <t>财务总监</t>
  </si>
  <si>
    <t>查看/编辑全部</t>
  </si>
  <si>
    <t>审批付款/手续费</t>
  </si>
  <si>
    <t>总经理</t>
  </si>
  <si>
    <t>终审</t>
  </si>
  <si>
    <t>系统管理员</t>
  </si>
  <si>
    <t>全部权限</t>
  </si>
  <si>
    <t>报表看板设计</t>
  </si>
  <si>
    <t>报表编号</t>
  </si>
  <si>
    <t>报表名称</t>
  </si>
  <si>
    <t>报表类型</t>
  </si>
  <si>
    <t>数据源</t>
  </si>
  <si>
    <t>统计维度</t>
  </si>
  <si>
    <t>核心指标</t>
  </si>
  <si>
    <t>刷新频率</t>
  </si>
  <si>
    <t>钉钉能力</t>
  </si>
  <si>
    <t>R-01</t>
  </si>
  <si>
    <t>经营总览看板</t>
  </si>
  <si>
    <t>仪表盘</t>
  </si>
  <si>
    <t>全部数据表</t>
  </si>
  <si>
    <t>时间/部门/供应商</t>
  </si>
  <si>
    <t>需求总额、已签约额、已开票额、差额、完成率</t>
  </si>
  <si>
    <t>实时</t>
  </si>
  <si>
    <t>R-02</t>
  </si>
  <si>
    <t>需求趋势分析</t>
  </si>
  <si>
    <t>透视表</t>
  </si>
  <si>
    <t>月度/季度</t>
  </si>
  <si>
    <t>需求笔数、金额趋势</t>
  </si>
  <si>
    <t>每日</t>
  </si>
  <si>
    <t>R-03</t>
  </si>
  <si>
    <t>供应商开票进度</t>
  </si>
  <si>
    <t>供应商/状态</t>
  </si>
  <si>
    <t>各供应商开票完成率</t>
  </si>
  <si>
    <t>R-04</t>
  </si>
  <si>
    <t>付款执行报表</t>
  </si>
  <si>
    <t>月度/供应商</t>
  </si>
  <si>
    <t>付款总额、待付款金额</t>
  </si>
  <si>
    <t>R-05</t>
  </si>
  <si>
    <t>需求+开票</t>
  </si>
  <si>
    <t>供应商/月份</t>
  </si>
  <si>
    <t>需求金额-已开票金额</t>
  </si>
  <si>
    <t>R-06</t>
  </si>
  <si>
    <t>月度/类型</t>
  </si>
  <si>
    <t>手续费总额、占比</t>
  </si>
  <si>
    <t>R-07</t>
  </si>
  <si>
    <t>审批效率报表</t>
  </si>
  <si>
    <t>OA审批同步数据</t>
  </si>
  <si>
    <t>流程类型/月份</t>
  </si>
  <si>
    <t>平均审批时长、超时率</t>
  </si>
  <si>
    <t>每周</t>
  </si>
  <si>
    <t>R-08</t>
  </si>
  <si>
    <t>超期预警看板</t>
  </si>
  <si>
    <t>超期笔数、最长超期天数</t>
  </si>
  <si>
    <t>看板+自动化</t>
  </si>
  <si>
    <t>实施路径</t>
  </si>
  <si>
    <t>阶段</t>
  </si>
  <si>
    <t>阶段名称</t>
  </si>
  <si>
    <t>里程碑</t>
  </si>
  <si>
    <t>核心任务</t>
  </si>
  <si>
    <t>交付物</t>
  </si>
  <si>
    <t>验收标准</t>
  </si>
  <si>
    <t>基础搭建</t>
  </si>
  <si>
    <t>M1-数据模型上线</t>
  </si>
  <si>
    <t>创建7张数据表、配置字段与关联关系、导入供应商主数据</t>
  </si>
  <si>
    <t>数据模型文档、供应商数据表</t>
  </si>
  <si>
    <t>表结构完整、关联关系正确、主数据导入完成</t>
  </si>
  <si>
    <t>M2-审批流程上线</t>
  </si>
  <si>
    <t>配置5条审批流程、设置条件分支与超时策略、配置审批回调</t>
  </si>
  <si>
    <t>审批流程配置文档</t>
  </si>
  <si>
    <t>流程可正常发起与流转、条件分支正确、超时提醒生效</t>
  </si>
  <si>
    <t>P3</t>
  </si>
  <si>
    <t>自动化集成</t>
  </si>
  <si>
    <t>M3-数据自动流转</t>
  </si>
  <si>
    <t>配置OA审批数据同步、配置自动化工作流(8条)、配置消息通知</t>
  </si>
  <si>
    <t>自动化配置文档</t>
  </si>
  <si>
    <t>审批数据自动同步、工作流触发正确、通知及时送达</t>
  </si>
  <si>
    <t>P4</t>
  </si>
  <si>
    <t>AI能力部署</t>
  </si>
  <si>
    <t>M4-AI功能上线</t>
  </si>
  <si>
    <t>配置AI字段Agent(图片识别/文本生成)、配置AI仪表盘、配置透视表</t>
  </si>
  <si>
    <t>AI功能配置文档</t>
  </si>
  <si>
    <t>AI识别准确率&gt;90%、仪表盘数据正确</t>
  </si>
  <si>
    <t>P5</t>
  </si>
  <si>
    <t>报表看板</t>
  </si>
  <si>
    <t>M5-报表体系上线</t>
  </si>
  <si>
    <t>创建8张报表/看板、配置权限与刷新频率</t>
  </si>
  <si>
    <t>报表清单与截图</t>
  </si>
  <si>
    <t>报表数据准确、刷新正常、权限正确</t>
  </si>
  <si>
    <t>P6</t>
  </si>
  <si>
    <t>测试上线</t>
  </si>
  <si>
    <t>M6-系统正式上线</t>
  </si>
  <si>
    <t>UAT测试、数据迁移、用户培训、上线切换</t>
  </si>
  <si>
    <t>测试报告、培训手册、上线报告</t>
  </si>
  <si>
    <t>全流程跑通、用户培训完成、无P0级缺陷</t>
  </si>
  <si>
    <t>风险评估</t>
  </si>
  <si>
    <t>风险编号</t>
  </si>
  <si>
    <t>风险类别</t>
  </si>
  <si>
    <t>风险描述</t>
  </si>
  <si>
    <t>发生概率</t>
  </si>
  <si>
    <t>影响程度</t>
  </si>
  <si>
    <t>风险等级</t>
  </si>
  <si>
    <t>应对策略</t>
  </si>
  <si>
    <t>责任人</t>
  </si>
  <si>
    <t>RK-01</t>
  </si>
  <si>
    <t>数据风险</t>
  </si>
  <si>
    <t>供应商主数据不完整或格式不统一</t>
  </si>
  <si>
    <t>高</t>
  </si>
  <si>
    <t>上线前进行数据清洗，制定数据录入规范</t>
  </si>
  <si>
    <t>项目经理</t>
  </si>
  <si>
    <t>RK-02</t>
  </si>
  <si>
    <t>流程风险</t>
  </si>
  <si>
    <t>审批流程节点设置不合理导致流程卡顿</t>
  </si>
  <si>
    <t>中</t>
  </si>
  <si>
    <t>上线前进行流程模拟测试，设置超时升级机制</t>
  </si>
  <si>
    <t>业务负责人</t>
  </si>
  <si>
    <t>RK-03</t>
  </si>
  <si>
    <t>采纳风险</t>
  </si>
  <si>
    <t>用户习惯改变导致系统使用率低</t>
  </si>
  <si>
    <t>分阶段上线，提供培训与操作手册，设置过渡期</t>
  </si>
  <si>
    <t>RK-04</t>
  </si>
  <si>
    <t>技术风险</t>
  </si>
  <si>
    <t>AI字段Agent识别准确率不达预期</t>
  </si>
  <si>
    <t>低</t>
  </si>
  <si>
    <t>人工复核机制，持续优化AI提示词</t>
  </si>
  <si>
    <t>技术负责人</t>
  </si>
  <si>
    <t>RK-05</t>
  </si>
  <si>
    <t>容量风险</t>
  </si>
  <si>
    <t>数据量超出AI表格免费版限制</t>
  </si>
  <si>
    <t>评估数据量，必要时升级企业版/旗舰版</t>
  </si>
  <si>
    <t>RK-06</t>
  </si>
  <si>
    <t>集成风险</t>
  </si>
  <si>
    <t>OA审批与AI表格数据同步延迟</t>
  </si>
  <si>
    <t>配置自动同步频率，设置手动同步兜底</t>
  </si>
  <si>
    <t>成本估算</t>
  </si>
  <si>
    <t>费用项</t>
  </si>
  <si>
    <t>免费版</t>
  </si>
  <si>
    <t>企业版(18元/人/月)</t>
  </si>
  <si>
    <t>旗舰版(35元/人/月)</t>
  </si>
  <si>
    <t>单表最大行数</t>
  </si>
  <si>
    <t>20,000行</t>
  </si>
  <si>
    <t>30,000行(可扩容至千万)</t>
  </si>
  <si>
    <t>50,000行(可扩容至千万)</t>
  </si>
  <si>
    <t>根据数据量选择</t>
  </si>
  <si>
    <t>每月自动化运行次数</t>
  </si>
  <si>
    <t>500次</t>
  </si>
  <si>
    <t>50,000次</t>
  </si>
  <si>
    <t>500,000次</t>
  </si>
  <si>
    <t>根据业务频率选择</t>
  </si>
  <si>
    <t>高级权限自定义角色</t>
  </si>
  <si>
    <t>3个</t>
  </si>
  <si>
    <t>50个</t>
  </si>
  <si>
    <t>100个</t>
  </si>
  <si>
    <t>根据角色数量选择</t>
  </si>
  <si>
    <t>仪表盘联表计算</t>
  </si>
  <si>
    <t>不支持</t>
  </si>
  <si>
    <t>200个</t>
  </si>
  <si>
    <t>根据报表复杂度选择</t>
  </si>
  <si>
    <t>AI字段高速通道</t>
  </si>
  <si>
    <t>支持</t>
  </si>
  <si>
    <t>影响AI处理速度</t>
  </si>
  <si>
    <t>OA审批高级版</t>
  </si>
  <si>
    <t>不含</t>
  </si>
  <si>
    <t>按需购买</t>
  </si>
  <si>
    <t>批量审批等高级API</t>
  </si>
  <si>
    <t>实施服务费</t>
  </si>
  <si>
    <t>-</t>
  </si>
  <si>
    <t>3-5万</t>
  </si>
  <si>
    <t>表单搭建+流程配置+培训</t>
  </si>
  <si>
    <t>年度运维费</t>
  </si>
  <si>
    <t>1-2万/年</t>
  </si>
  <si>
    <t>系统维护+优化调整</t>
  </si>
  <si>
    <t>推荐方案</t>
  </si>
  <si>
    <t>50人规模企业选择企业版，年费约10,800元+实施费4万≈5万首年投入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</si>
</sst>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rgb="FF1F4E79"/>
      <name val="微软雅黑"/>
      <charset val="134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rgb="FF1F4E79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ED7D31"/>
      <name val="微软雅黑"/>
      <charset val="134"/>
    </font>
    <font>
      <sz val="10"/>
      <color rgb="FF80808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4444"/>
        <bgColor rgb="FFFF4444"/>
      </patternFill>
    </fill>
    <fill>
      <patternFill patternType="solid">
        <fgColor rgb="FFFFA500"/>
        <bgColor rgb="FFFFA500"/>
      </patternFill>
    </fill>
    <fill>
      <patternFill patternType="solid">
        <fgColor rgb="FF00B050"/>
        <bgColor rgb="FF00B050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1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10" borderId="1" xfId="0" applyFont="1" applyFill="1" applyBorder="1"/>
    <xf numFmtId="0" fontId="5" fillId="11" borderId="1" xfId="0" applyFont="1" applyFill="1" applyBorder="1"/>
    <xf numFmtId="0" fontId="4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pane xSplit="1" topLeftCell="B1" activePane="topRight" state="frozen"/>
      <selection/>
      <selection pane="topRight" activeCell="I17" sqref="I17"/>
    </sheetView>
  </sheetViews>
  <sheetFormatPr defaultColWidth="9" defaultRowHeight="13.5" outlineLevelCol="1"/>
  <cols>
    <col min="1" max="2" width="45" customWidth="1"/>
  </cols>
  <sheetData>
    <row r="1" ht="40" customHeight="1" spans="1:2">
      <c r="A1" s="1" t="s">
        <v>0</v>
      </c>
    </row>
    <row r="3" ht="28" customHeight="1" spans="1:2">
      <c r="A3" s="2" t="s">
        <v>1</v>
      </c>
      <c r="B3" s="2" t="s">
        <v>2</v>
      </c>
    </row>
    <row r="4" ht="16.5" spans="1:2">
      <c r="A4" s="3" t="s">
        <v>3</v>
      </c>
      <c r="B4" s="4" t="s">
        <v>0</v>
      </c>
    </row>
    <row r="5" ht="16.5" spans="1:2">
      <c r="A5" s="5" t="s">
        <v>4</v>
      </c>
      <c r="B5" s="6" t="s">
        <v>5</v>
      </c>
    </row>
    <row r="6" ht="16.5" spans="1:2">
      <c r="A6" s="3" t="s">
        <v>6</v>
      </c>
      <c r="B6" s="4" t="s">
        <v>7</v>
      </c>
    </row>
    <row r="7" ht="16.5" spans="1:2">
      <c r="A7" s="5" t="s">
        <v>8</v>
      </c>
      <c r="B7" s="6" t="s">
        <v>9</v>
      </c>
    </row>
    <row r="9" ht="18" spans="1:2">
      <c r="A9" s="7" t="s">
        <v>10</v>
      </c>
    </row>
    <row r="10" ht="36" customHeight="1" spans="1:2">
      <c r="A10" s="20" t="s">
        <v>11</v>
      </c>
    </row>
    <row r="12" ht="18" spans="1:2">
      <c r="A12" s="7" t="s">
        <v>12</v>
      </c>
    </row>
    <row r="13" ht="36" customHeight="1" spans="1:2">
      <c r="A13" s="20" t="s">
        <v>13</v>
      </c>
    </row>
    <row r="15" ht="18" spans="1:2">
      <c r="A15" s="7" t="s">
        <v>14</v>
      </c>
    </row>
    <row r="16" ht="28" customHeight="1" spans="1:2">
      <c r="A16" s="2" t="s">
        <v>15</v>
      </c>
      <c r="B16" s="2" t="s">
        <v>16</v>
      </c>
    </row>
    <row r="17" ht="16.5" spans="1:2">
      <c r="A17" s="4" t="s">
        <v>17</v>
      </c>
      <c r="B17" s="4" t="s">
        <v>18</v>
      </c>
    </row>
    <row r="18" ht="16.5" spans="1:2">
      <c r="A18" s="6" t="s">
        <v>19</v>
      </c>
      <c r="B18" s="6" t="s">
        <v>20</v>
      </c>
    </row>
    <row r="19" ht="16.5" spans="1:2">
      <c r="A19" s="4" t="s">
        <v>21</v>
      </c>
      <c r="B19" s="4" t="s">
        <v>22</v>
      </c>
    </row>
    <row r="20" ht="16.5" spans="1:2">
      <c r="A20" s="6" t="s">
        <v>23</v>
      </c>
      <c r="B20" s="6" t="s">
        <v>24</v>
      </c>
    </row>
    <row r="21" ht="16.5" spans="1:2">
      <c r="A21" s="4" t="s">
        <v>25</v>
      </c>
      <c r="B21" s="4" t="s">
        <v>26</v>
      </c>
    </row>
  </sheetData>
  <mergeCells count="6">
    <mergeCell ref="A1:B1"/>
    <mergeCell ref="A9:B9"/>
    <mergeCell ref="A10:B10"/>
    <mergeCell ref="A12:B12"/>
    <mergeCell ref="A13:B13"/>
    <mergeCell ref="A15:B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xSplit="1" topLeftCell="B1" activePane="topRight" state="frozen"/>
      <selection/>
      <selection pane="topRight" activeCell="G21" sqref="G21"/>
    </sheetView>
  </sheetViews>
  <sheetFormatPr defaultColWidth="9" defaultRowHeight="13.5" outlineLevelCol="3"/>
  <cols>
    <col min="1" max="1" width="34" customWidth="1"/>
    <col min="2" max="2" width="32" customWidth="1"/>
    <col min="3" max="3" width="24" customWidth="1"/>
    <col min="4" max="4" width="20" customWidth="1"/>
  </cols>
  <sheetData>
    <row r="1" ht="40" customHeight="1" spans="1:4">
      <c r="A1" s="1" t="s">
        <v>27</v>
      </c>
    </row>
    <row r="3" ht="18" spans="1:4">
      <c r="A3" s="18" t="s">
        <v>28</v>
      </c>
    </row>
    <row r="4" ht="28" customHeight="1" spans="1:4">
      <c r="A4" s="2" t="s">
        <v>29</v>
      </c>
      <c r="B4" s="2" t="s">
        <v>30</v>
      </c>
      <c r="C4" s="2" t="s">
        <v>31</v>
      </c>
      <c r="D4" s="2" t="s">
        <v>32</v>
      </c>
    </row>
    <row r="5" ht="16.5" spans="1:4">
      <c r="A5" s="4" t="s">
        <v>17</v>
      </c>
      <c r="B5" s="4" t="s">
        <v>33</v>
      </c>
      <c r="C5" s="4" t="s">
        <v>34</v>
      </c>
      <c r="D5" s="4" t="s">
        <v>35</v>
      </c>
    </row>
    <row r="6" ht="16.5" spans="1:4">
      <c r="A6" s="6" t="s">
        <v>19</v>
      </c>
      <c r="B6" s="6" t="s">
        <v>36</v>
      </c>
      <c r="C6" s="6" t="s">
        <v>37</v>
      </c>
      <c r="D6" s="6" t="s">
        <v>38</v>
      </c>
    </row>
    <row r="7" ht="16.5" spans="1:4">
      <c r="A7" s="4" t="s">
        <v>21</v>
      </c>
      <c r="B7" s="4" t="s">
        <v>39</v>
      </c>
      <c r="C7" s="4" t="s">
        <v>40</v>
      </c>
      <c r="D7" s="4" t="s">
        <v>41</v>
      </c>
    </row>
    <row r="8" ht="16.5" spans="1:4">
      <c r="A8" s="6" t="s">
        <v>23</v>
      </c>
      <c r="B8" s="6" t="s">
        <v>42</v>
      </c>
      <c r="C8" s="6" t="s">
        <v>43</v>
      </c>
      <c r="D8" s="6" t="s">
        <v>44</v>
      </c>
    </row>
    <row r="9" ht="16.5" spans="1:4">
      <c r="A9" s="4" t="s">
        <v>25</v>
      </c>
      <c r="B9" s="4" t="s">
        <v>45</v>
      </c>
      <c r="C9" s="4" t="s">
        <v>46</v>
      </c>
      <c r="D9" s="4" t="s">
        <v>47</v>
      </c>
    </row>
    <row r="10" ht="16.5" spans="1:4">
      <c r="A10" s="6" t="s">
        <v>48</v>
      </c>
      <c r="B10" s="6" t="s">
        <v>49</v>
      </c>
      <c r="C10" s="6" t="s">
        <v>50</v>
      </c>
      <c r="D10" s="6" t="s">
        <v>51</v>
      </c>
    </row>
    <row r="12" ht="18" spans="1:4">
      <c r="A12" s="19" t="s">
        <v>52</v>
      </c>
    </row>
    <row r="13" ht="28" customHeight="1" spans="1:4">
      <c r="A13" s="2" t="s">
        <v>29</v>
      </c>
      <c r="B13" s="2" t="s">
        <v>30</v>
      </c>
      <c r="C13" s="2" t="s">
        <v>31</v>
      </c>
      <c r="D13" s="2" t="s">
        <v>32</v>
      </c>
    </row>
    <row r="14" ht="16.5" spans="1:4">
      <c r="A14" s="4" t="s">
        <v>17</v>
      </c>
      <c r="B14" s="4" t="s">
        <v>53</v>
      </c>
      <c r="C14" s="4" t="s">
        <v>54</v>
      </c>
      <c r="D14" s="4" t="s">
        <v>55</v>
      </c>
    </row>
    <row r="15" ht="16.5" spans="1:4">
      <c r="A15" s="6" t="s">
        <v>19</v>
      </c>
      <c r="B15" s="6" t="s">
        <v>56</v>
      </c>
      <c r="C15" s="6" t="s">
        <v>57</v>
      </c>
      <c r="D15" s="6" t="s">
        <v>58</v>
      </c>
    </row>
    <row r="16" ht="16.5" spans="1:4">
      <c r="A16" s="4" t="s">
        <v>21</v>
      </c>
      <c r="B16" s="4" t="s">
        <v>59</v>
      </c>
      <c r="C16" s="4" t="s">
        <v>60</v>
      </c>
      <c r="D16" s="4" t="s">
        <v>61</v>
      </c>
    </row>
    <row r="17" ht="16.5" spans="1:4">
      <c r="A17" s="6" t="s">
        <v>23</v>
      </c>
      <c r="B17" s="6" t="s">
        <v>62</v>
      </c>
      <c r="C17" s="6" t="s">
        <v>63</v>
      </c>
      <c r="D17" s="6" t="s">
        <v>64</v>
      </c>
    </row>
    <row r="18" ht="16.5" spans="1:4">
      <c r="A18" s="4" t="s">
        <v>25</v>
      </c>
      <c r="B18" s="4" t="s">
        <v>65</v>
      </c>
      <c r="C18" s="4" t="s">
        <v>66</v>
      </c>
      <c r="D18" s="4" t="s">
        <v>67</v>
      </c>
    </row>
    <row r="19" ht="16.5" spans="1:4">
      <c r="A19" s="6" t="s">
        <v>48</v>
      </c>
      <c r="B19" s="6" t="s">
        <v>68</v>
      </c>
      <c r="C19" s="6" t="s">
        <v>69</v>
      </c>
      <c r="D19" s="6" t="s">
        <v>70</v>
      </c>
    </row>
  </sheetData>
  <mergeCells count="3">
    <mergeCell ref="A1:D1"/>
    <mergeCell ref="A3:D3"/>
    <mergeCell ref="A12:D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pane xSplit="1" topLeftCell="B1" activePane="topRight" state="frozen"/>
      <selection/>
      <selection pane="topRight" activeCell="A1" sqref="A1:C1"/>
    </sheetView>
  </sheetViews>
  <sheetFormatPr defaultColWidth="9" defaultRowHeight="13.5" outlineLevelCol="2"/>
  <cols>
    <col min="1" max="1" width="20" customWidth="1"/>
    <col min="2" max="2" width="45" customWidth="1"/>
    <col min="3" max="3" width="26" customWidth="1"/>
  </cols>
  <sheetData>
    <row r="1" ht="40" customHeight="1" spans="1:3">
      <c r="A1" s="1" t="s">
        <v>71</v>
      </c>
    </row>
    <row r="3" ht="28" customHeight="1" spans="1:3">
      <c r="A3" s="2" t="s">
        <v>72</v>
      </c>
      <c r="B3" s="2" t="s">
        <v>73</v>
      </c>
      <c r="C3" s="2" t="s">
        <v>74</v>
      </c>
    </row>
    <row r="4" ht="16.5" spans="1:3">
      <c r="A4" s="4" t="s">
        <v>75</v>
      </c>
      <c r="B4" s="4" t="s">
        <v>76</v>
      </c>
      <c r="C4" s="4" t="s">
        <v>77</v>
      </c>
    </row>
    <row r="5" ht="33" spans="1:3">
      <c r="A5" s="6" t="s">
        <v>78</v>
      </c>
      <c r="B5" s="6" t="s">
        <v>79</v>
      </c>
      <c r="C5" s="6" t="s">
        <v>80</v>
      </c>
    </row>
    <row r="6" ht="16.5" spans="1:3">
      <c r="A6" s="4" t="s">
        <v>81</v>
      </c>
      <c r="B6" s="4" t="s">
        <v>82</v>
      </c>
      <c r="C6" s="4" t="s">
        <v>83</v>
      </c>
    </row>
    <row r="7" ht="16.5" spans="1:3">
      <c r="A7" s="6" t="s">
        <v>81</v>
      </c>
      <c r="B7" s="6" t="s">
        <v>84</v>
      </c>
      <c r="C7" s="6" t="s">
        <v>85</v>
      </c>
    </row>
    <row r="8" ht="16.5" spans="1:3">
      <c r="A8" s="4" t="s">
        <v>81</v>
      </c>
      <c r="B8" s="4" t="s">
        <v>86</v>
      </c>
      <c r="C8" s="4" t="s">
        <v>87</v>
      </c>
    </row>
    <row r="9" ht="33" spans="1:3">
      <c r="A9" s="6" t="s">
        <v>88</v>
      </c>
      <c r="B9" s="6" t="s">
        <v>89</v>
      </c>
      <c r="C9" s="6" t="s">
        <v>90</v>
      </c>
    </row>
    <row r="11" ht="18" spans="1:3">
      <c r="A11" s="7" t="s">
        <v>91</v>
      </c>
    </row>
    <row r="12" ht="28" customHeight="1" spans="1:3">
      <c r="A12" s="2" t="s">
        <v>92</v>
      </c>
      <c r="B12" s="2" t="s">
        <v>93</v>
      </c>
      <c r="C12" s="2" t="s">
        <v>74</v>
      </c>
    </row>
    <row r="13" ht="16.5" spans="1:3">
      <c r="A13" s="4" t="s">
        <v>94</v>
      </c>
      <c r="B13" s="4" t="s">
        <v>95</v>
      </c>
      <c r="C13" s="4" t="s">
        <v>96</v>
      </c>
    </row>
    <row r="14" ht="16.5" spans="1:3">
      <c r="A14" s="6" t="s">
        <v>97</v>
      </c>
      <c r="B14" s="6" t="s">
        <v>98</v>
      </c>
      <c r="C14" s="6" t="s">
        <v>99</v>
      </c>
    </row>
    <row r="15" ht="16.5" spans="1:3">
      <c r="A15" s="4" t="s">
        <v>100</v>
      </c>
      <c r="B15" s="4" t="s">
        <v>101</v>
      </c>
      <c r="C15" s="4" t="s">
        <v>102</v>
      </c>
    </row>
    <row r="16" ht="16.5" spans="1:3">
      <c r="A16" s="6" t="s">
        <v>103</v>
      </c>
      <c r="B16" s="6" t="s">
        <v>104</v>
      </c>
      <c r="C16" s="6" t="s">
        <v>105</v>
      </c>
    </row>
  </sheetData>
  <mergeCells count="2">
    <mergeCell ref="A1:C1"/>
    <mergeCell ref="A11:C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pane xSplit="1" topLeftCell="B1" activePane="topRight" state="frozen"/>
      <selection/>
      <selection pane="topRight" activeCell="A1" sqref="$A1:$XFD1048576"/>
    </sheetView>
  </sheetViews>
  <sheetFormatPr defaultColWidth="9" defaultRowHeight="13.5" outlineLevelCol="7"/>
  <cols>
    <col min="1" max="1" width="16" customWidth="1"/>
    <col min="2" max="2" width="14" customWidth="1"/>
    <col min="3" max="3" width="16" customWidth="1"/>
    <col min="4" max="4" width="30" customWidth="1"/>
    <col min="5" max="5" width="45" customWidth="1"/>
    <col min="6" max="6" width="10" customWidth="1"/>
    <col min="7" max="7" width="22" customWidth="1"/>
    <col min="8" max="8" width="16" customWidth="1"/>
  </cols>
  <sheetData>
    <row r="1" ht="40" customHeight="1" spans="1:8">
      <c r="A1" s="1" t="s">
        <v>106</v>
      </c>
    </row>
    <row r="3" ht="28" customHeight="1" spans="1:8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</row>
    <row r="4" ht="16.5" spans="1:8">
      <c r="A4" s="4" t="s">
        <v>115</v>
      </c>
      <c r="B4" s="4" t="s">
        <v>116</v>
      </c>
      <c r="C4" s="4" t="s">
        <v>117</v>
      </c>
      <c r="D4" s="4" t="s">
        <v>118</v>
      </c>
      <c r="E4" s="4" t="s">
        <v>118</v>
      </c>
      <c r="F4" s="12" t="s">
        <v>119</v>
      </c>
      <c r="G4" s="4" t="s">
        <v>120</v>
      </c>
      <c r="H4" s="4" t="s">
        <v>121</v>
      </c>
    </row>
    <row r="5" ht="16.5" spans="1:8">
      <c r="A5" s="6" t="s">
        <v>122</v>
      </c>
      <c r="B5" s="6" t="s">
        <v>116</v>
      </c>
      <c r="C5" s="6" t="s">
        <v>123</v>
      </c>
      <c r="D5" s="6" t="s">
        <v>124</v>
      </c>
      <c r="E5" s="6" t="s">
        <v>124</v>
      </c>
      <c r="F5" s="13" t="s">
        <v>119</v>
      </c>
      <c r="G5" s="6" t="s">
        <v>125</v>
      </c>
      <c r="H5" s="6" t="s">
        <v>126</v>
      </c>
    </row>
    <row r="6" ht="16.5" spans="1:8">
      <c r="A6" s="4" t="s">
        <v>127</v>
      </c>
      <c r="B6" s="4" t="s">
        <v>116</v>
      </c>
      <c r="C6" s="4" t="s">
        <v>128</v>
      </c>
      <c r="D6" s="4" t="s">
        <v>129</v>
      </c>
      <c r="E6" s="4" t="s">
        <v>129</v>
      </c>
      <c r="F6" s="14" t="s">
        <v>130</v>
      </c>
      <c r="G6" s="4" t="s">
        <v>131</v>
      </c>
      <c r="H6" s="4" t="s">
        <v>132</v>
      </c>
    </row>
    <row r="7" ht="16.5" spans="1:8">
      <c r="A7" s="6" t="s">
        <v>133</v>
      </c>
      <c r="B7" s="6" t="s">
        <v>116</v>
      </c>
      <c r="C7" s="6" t="s">
        <v>134</v>
      </c>
      <c r="D7" s="6" t="s">
        <v>135</v>
      </c>
      <c r="E7" s="6" t="s">
        <v>135</v>
      </c>
      <c r="F7" s="15" t="s">
        <v>130</v>
      </c>
      <c r="G7" s="6" t="s">
        <v>136</v>
      </c>
      <c r="H7" s="6" t="s">
        <v>137</v>
      </c>
    </row>
    <row r="8" ht="16.5" spans="1:8">
      <c r="A8" s="4" t="s">
        <v>138</v>
      </c>
      <c r="B8" s="4" t="s">
        <v>116</v>
      </c>
      <c r="C8" s="4" t="s">
        <v>139</v>
      </c>
      <c r="D8" s="4" t="s">
        <v>140</v>
      </c>
      <c r="E8" s="4" t="s">
        <v>140</v>
      </c>
      <c r="F8" s="12" t="s">
        <v>119</v>
      </c>
      <c r="G8" s="4" t="s">
        <v>141</v>
      </c>
      <c r="H8" s="4" t="s">
        <v>142</v>
      </c>
    </row>
    <row r="9" ht="16.5" spans="1:8">
      <c r="A9" s="6" t="s">
        <v>143</v>
      </c>
      <c r="B9" s="6" t="s">
        <v>144</v>
      </c>
      <c r="C9" s="6" t="s">
        <v>145</v>
      </c>
      <c r="D9" s="6" t="s">
        <v>146</v>
      </c>
      <c r="E9" s="6" t="s">
        <v>146</v>
      </c>
      <c r="F9" s="13" t="s">
        <v>119</v>
      </c>
      <c r="G9" s="6" t="s">
        <v>147</v>
      </c>
      <c r="H9" s="6" t="s">
        <v>148</v>
      </c>
    </row>
    <row r="10" ht="16.5" spans="1:8">
      <c r="A10" s="4" t="s">
        <v>149</v>
      </c>
      <c r="B10" s="4" t="s">
        <v>144</v>
      </c>
      <c r="C10" s="4" t="s">
        <v>150</v>
      </c>
      <c r="D10" s="4" t="s">
        <v>151</v>
      </c>
      <c r="E10" s="4" t="s">
        <v>151</v>
      </c>
      <c r="F10" s="12" t="s">
        <v>119</v>
      </c>
      <c r="G10" s="4" t="s">
        <v>141</v>
      </c>
      <c r="H10" s="4" t="s">
        <v>142</v>
      </c>
    </row>
    <row r="11" ht="16.5" spans="1:8">
      <c r="A11" s="6" t="s">
        <v>152</v>
      </c>
      <c r="B11" s="6" t="s">
        <v>144</v>
      </c>
      <c r="C11" s="6" t="s">
        <v>153</v>
      </c>
      <c r="D11" s="6" t="s">
        <v>154</v>
      </c>
      <c r="E11" s="6" t="s">
        <v>154</v>
      </c>
      <c r="F11" s="15" t="s">
        <v>130</v>
      </c>
      <c r="G11" s="6" t="s">
        <v>125</v>
      </c>
      <c r="H11" s="6" t="s">
        <v>126</v>
      </c>
    </row>
    <row r="12" ht="16.5" spans="1:8">
      <c r="A12" s="4" t="s">
        <v>155</v>
      </c>
      <c r="B12" s="4" t="s">
        <v>144</v>
      </c>
      <c r="C12" s="4" t="s">
        <v>156</v>
      </c>
      <c r="D12" s="4" t="s">
        <v>157</v>
      </c>
      <c r="E12" s="4" t="s">
        <v>157</v>
      </c>
      <c r="F12" s="14" t="s">
        <v>130</v>
      </c>
      <c r="G12" s="4" t="s">
        <v>158</v>
      </c>
      <c r="H12" s="4" t="s">
        <v>159</v>
      </c>
    </row>
    <row r="13" ht="16.5" spans="1:8">
      <c r="A13" s="6" t="s">
        <v>160</v>
      </c>
      <c r="B13" s="6" t="s">
        <v>161</v>
      </c>
      <c r="C13" s="6" t="s">
        <v>162</v>
      </c>
      <c r="D13" s="6" t="s">
        <v>163</v>
      </c>
      <c r="E13" s="6" t="s">
        <v>163</v>
      </c>
      <c r="F13" s="13" t="s">
        <v>119</v>
      </c>
      <c r="G13" s="6" t="s">
        <v>141</v>
      </c>
      <c r="H13" s="6" t="s">
        <v>142</v>
      </c>
    </row>
    <row r="14" ht="16.5" spans="1:8">
      <c r="A14" s="4" t="s">
        <v>164</v>
      </c>
      <c r="B14" s="4" t="s">
        <v>161</v>
      </c>
      <c r="C14" s="4" t="s">
        <v>165</v>
      </c>
      <c r="D14" s="4" t="s">
        <v>166</v>
      </c>
      <c r="E14" s="4" t="s">
        <v>166</v>
      </c>
      <c r="F14" s="12" t="s">
        <v>119</v>
      </c>
      <c r="G14" s="4" t="s">
        <v>141</v>
      </c>
      <c r="H14" s="4" t="s">
        <v>142</v>
      </c>
    </row>
    <row r="15" ht="16.5" spans="1:8">
      <c r="A15" s="6" t="s">
        <v>167</v>
      </c>
      <c r="B15" s="6" t="s">
        <v>161</v>
      </c>
      <c r="C15" s="6" t="s">
        <v>168</v>
      </c>
      <c r="D15" s="6" t="s">
        <v>169</v>
      </c>
      <c r="E15" s="6" t="s">
        <v>169</v>
      </c>
      <c r="F15" s="15" t="s">
        <v>130</v>
      </c>
      <c r="G15" s="6" t="s">
        <v>158</v>
      </c>
      <c r="H15" s="6" t="s">
        <v>170</v>
      </c>
    </row>
    <row r="16" ht="16.5" spans="1:8">
      <c r="A16" s="4" t="s">
        <v>171</v>
      </c>
      <c r="B16" s="4" t="s">
        <v>161</v>
      </c>
      <c r="C16" s="4" t="s">
        <v>172</v>
      </c>
      <c r="D16" s="4" t="s">
        <v>173</v>
      </c>
      <c r="E16" s="4" t="s">
        <v>173</v>
      </c>
      <c r="F16" s="14" t="s">
        <v>130</v>
      </c>
      <c r="G16" s="4" t="s">
        <v>125</v>
      </c>
      <c r="H16" s="4" t="s">
        <v>174</v>
      </c>
    </row>
    <row r="17" ht="16.5" spans="1:8">
      <c r="A17" s="6" t="s">
        <v>175</v>
      </c>
      <c r="B17" s="6" t="s">
        <v>176</v>
      </c>
      <c r="C17" s="6" t="s">
        <v>177</v>
      </c>
      <c r="D17" s="6" t="s">
        <v>178</v>
      </c>
      <c r="E17" s="6" t="s">
        <v>178</v>
      </c>
      <c r="F17" s="13" t="s">
        <v>119</v>
      </c>
      <c r="G17" s="6" t="s">
        <v>141</v>
      </c>
      <c r="H17" s="6" t="s">
        <v>142</v>
      </c>
    </row>
    <row r="18" ht="16.5" spans="1:8">
      <c r="A18" s="4" t="s">
        <v>179</v>
      </c>
      <c r="B18" s="4" t="s">
        <v>176</v>
      </c>
      <c r="C18" s="4" t="s">
        <v>180</v>
      </c>
      <c r="D18" s="4" t="s">
        <v>181</v>
      </c>
      <c r="E18" s="4" t="s">
        <v>181</v>
      </c>
      <c r="F18" s="12" t="s">
        <v>119</v>
      </c>
      <c r="G18" s="4" t="s">
        <v>182</v>
      </c>
      <c r="H18" s="4" t="s">
        <v>183</v>
      </c>
    </row>
    <row r="19" ht="16.5" spans="1:8">
      <c r="A19" s="6" t="s">
        <v>184</v>
      </c>
      <c r="B19" s="6" t="s">
        <v>176</v>
      </c>
      <c r="C19" s="6" t="s">
        <v>185</v>
      </c>
      <c r="D19" s="6" t="s">
        <v>186</v>
      </c>
      <c r="E19" s="6" t="s">
        <v>186</v>
      </c>
      <c r="F19" s="15" t="s">
        <v>130</v>
      </c>
      <c r="G19" s="6" t="s">
        <v>125</v>
      </c>
      <c r="H19" s="6" t="s">
        <v>126</v>
      </c>
    </row>
    <row r="20" ht="16.5" spans="1:8">
      <c r="A20" s="4" t="s">
        <v>187</v>
      </c>
      <c r="B20" s="4" t="s">
        <v>176</v>
      </c>
      <c r="C20" s="4" t="s">
        <v>188</v>
      </c>
      <c r="D20" s="4" t="s">
        <v>189</v>
      </c>
      <c r="E20" s="4" t="s">
        <v>189</v>
      </c>
      <c r="F20" s="14" t="s">
        <v>130</v>
      </c>
      <c r="G20" s="4" t="s">
        <v>190</v>
      </c>
      <c r="H20" s="4" t="s">
        <v>191</v>
      </c>
    </row>
    <row r="21" ht="16.5" spans="1:8">
      <c r="A21" s="6" t="s">
        <v>192</v>
      </c>
      <c r="B21" s="6" t="s">
        <v>193</v>
      </c>
      <c r="C21" s="6" t="s">
        <v>194</v>
      </c>
      <c r="D21" s="6" t="s">
        <v>195</v>
      </c>
      <c r="E21" s="6" t="s">
        <v>195</v>
      </c>
      <c r="F21" s="13" t="s">
        <v>119</v>
      </c>
      <c r="G21" s="6" t="s">
        <v>125</v>
      </c>
      <c r="H21" s="6" t="s">
        <v>126</v>
      </c>
    </row>
    <row r="22" ht="16.5" spans="1:8">
      <c r="A22" s="4" t="s">
        <v>196</v>
      </c>
      <c r="B22" s="4" t="s">
        <v>193</v>
      </c>
      <c r="C22" s="4" t="s">
        <v>197</v>
      </c>
      <c r="D22" s="4" t="s">
        <v>198</v>
      </c>
      <c r="E22" s="4" t="s">
        <v>198</v>
      </c>
      <c r="F22" s="12" t="s">
        <v>119</v>
      </c>
      <c r="G22" s="4" t="s">
        <v>158</v>
      </c>
      <c r="H22" s="4" t="s">
        <v>170</v>
      </c>
    </row>
    <row r="23" ht="16.5" spans="1:8">
      <c r="A23" s="6" t="s">
        <v>199</v>
      </c>
      <c r="B23" s="6" t="s">
        <v>193</v>
      </c>
      <c r="C23" s="6" t="s">
        <v>200</v>
      </c>
      <c r="D23" s="6" t="s">
        <v>201</v>
      </c>
      <c r="E23" s="6" t="s">
        <v>201</v>
      </c>
      <c r="F23" s="15" t="s">
        <v>130</v>
      </c>
      <c r="G23" s="6" t="s">
        <v>125</v>
      </c>
      <c r="H23" s="6" t="s">
        <v>202</v>
      </c>
    </row>
    <row r="24" ht="16.5" spans="1:8">
      <c r="A24" s="4" t="s">
        <v>203</v>
      </c>
      <c r="B24" s="4" t="s">
        <v>193</v>
      </c>
      <c r="C24" s="4" t="s">
        <v>204</v>
      </c>
      <c r="D24" s="4" t="s">
        <v>205</v>
      </c>
      <c r="E24" s="4" t="s">
        <v>205</v>
      </c>
      <c r="F24" s="12" t="s">
        <v>119</v>
      </c>
      <c r="G24" s="4" t="s">
        <v>190</v>
      </c>
      <c r="H24" s="4" t="s">
        <v>206</v>
      </c>
    </row>
    <row r="25" ht="16.5" spans="1:8">
      <c r="A25" s="6" t="s">
        <v>207</v>
      </c>
      <c r="B25" s="6" t="s">
        <v>193</v>
      </c>
      <c r="C25" s="6" t="s">
        <v>208</v>
      </c>
      <c r="D25" s="6" t="s">
        <v>209</v>
      </c>
      <c r="E25" s="6" t="s">
        <v>209</v>
      </c>
      <c r="F25" s="16" t="s">
        <v>210</v>
      </c>
      <c r="G25" s="6" t="s">
        <v>211</v>
      </c>
      <c r="H25" s="6" t="s">
        <v>212</v>
      </c>
    </row>
    <row r="26" ht="16.5" spans="1:8">
      <c r="A26" s="4" t="s">
        <v>213</v>
      </c>
      <c r="B26" s="4" t="s">
        <v>214</v>
      </c>
      <c r="C26" s="4" t="s">
        <v>215</v>
      </c>
      <c r="D26" s="4" t="s">
        <v>216</v>
      </c>
      <c r="E26" s="4" t="s">
        <v>216</v>
      </c>
      <c r="F26" s="12" t="s">
        <v>119</v>
      </c>
      <c r="G26" s="4" t="s">
        <v>141</v>
      </c>
      <c r="H26" s="4" t="s">
        <v>142</v>
      </c>
    </row>
    <row r="27" ht="16.5" spans="1:8">
      <c r="A27" s="6" t="s">
        <v>217</v>
      </c>
      <c r="B27" s="6" t="s">
        <v>214</v>
      </c>
      <c r="C27" s="6" t="s">
        <v>218</v>
      </c>
      <c r="D27" s="6" t="s">
        <v>181</v>
      </c>
      <c r="E27" s="6" t="s">
        <v>181</v>
      </c>
      <c r="F27" s="13" t="s">
        <v>119</v>
      </c>
      <c r="G27" s="6" t="s">
        <v>141</v>
      </c>
      <c r="H27" s="6" t="s">
        <v>142</v>
      </c>
    </row>
    <row r="28" ht="16.5" spans="1:8">
      <c r="A28" s="4" t="s">
        <v>219</v>
      </c>
      <c r="B28" s="4" t="s">
        <v>214</v>
      </c>
      <c r="C28" s="4" t="s">
        <v>220</v>
      </c>
      <c r="D28" s="4" t="s">
        <v>221</v>
      </c>
      <c r="E28" s="4" t="s">
        <v>221</v>
      </c>
      <c r="F28" s="14" t="s">
        <v>130</v>
      </c>
      <c r="G28" s="4" t="s">
        <v>222</v>
      </c>
      <c r="H28" s="4" t="s">
        <v>223</v>
      </c>
    </row>
    <row r="29" ht="16.5" spans="1:8">
      <c r="A29" s="6" t="s">
        <v>224</v>
      </c>
      <c r="B29" s="6" t="s">
        <v>225</v>
      </c>
      <c r="C29" s="6" t="s">
        <v>226</v>
      </c>
      <c r="D29" s="6" t="s">
        <v>227</v>
      </c>
      <c r="E29" s="6" t="s">
        <v>227</v>
      </c>
      <c r="F29" s="13" t="s">
        <v>119</v>
      </c>
      <c r="G29" s="6" t="s">
        <v>228</v>
      </c>
      <c r="H29" s="6" t="s">
        <v>229</v>
      </c>
    </row>
    <row r="30" ht="16.5" spans="1:8">
      <c r="A30" s="4" t="s">
        <v>230</v>
      </c>
      <c r="B30" s="4" t="s">
        <v>225</v>
      </c>
      <c r="C30" s="4" t="s">
        <v>231</v>
      </c>
      <c r="D30" s="4" t="s">
        <v>232</v>
      </c>
      <c r="E30" s="4" t="s">
        <v>232</v>
      </c>
      <c r="F30" s="14" t="s">
        <v>130</v>
      </c>
      <c r="G30" s="4" t="s">
        <v>222</v>
      </c>
      <c r="H30" s="4" t="s">
        <v>223</v>
      </c>
    </row>
    <row r="31" ht="16.5" spans="1:8">
      <c r="A31" s="6" t="s">
        <v>233</v>
      </c>
      <c r="B31" s="6" t="s">
        <v>225</v>
      </c>
      <c r="C31" s="6" t="s">
        <v>234</v>
      </c>
      <c r="D31" s="6" t="s">
        <v>235</v>
      </c>
      <c r="E31" s="6" t="s">
        <v>235</v>
      </c>
      <c r="F31" s="15" t="s">
        <v>130</v>
      </c>
      <c r="G31" s="6" t="s">
        <v>236</v>
      </c>
      <c r="H31" s="6" t="s">
        <v>237</v>
      </c>
    </row>
    <row r="32" ht="16.5" spans="1:8">
      <c r="A32" s="4" t="s">
        <v>238</v>
      </c>
      <c r="B32" s="4" t="s">
        <v>225</v>
      </c>
      <c r="C32" s="4" t="s">
        <v>239</v>
      </c>
      <c r="D32" s="4" t="s">
        <v>240</v>
      </c>
      <c r="E32" s="4" t="s">
        <v>240</v>
      </c>
      <c r="F32" s="14" t="s">
        <v>130</v>
      </c>
      <c r="G32" s="4" t="s">
        <v>241</v>
      </c>
      <c r="H32" s="4" t="s">
        <v>242</v>
      </c>
    </row>
    <row r="33" ht="16.5" spans="1:8">
      <c r="A33" s="6" t="s">
        <v>243</v>
      </c>
      <c r="B33" s="6" t="s">
        <v>225</v>
      </c>
      <c r="C33" s="6" t="s">
        <v>244</v>
      </c>
      <c r="D33" s="6" t="s">
        <v>245</v>
      </c>
      <c r="E33" s="6" t="s">
        <v>245</v>
      </c>
      <c r="F33" s="15" t="s">
        <v>130</v>
      </c>
      <c r="G33" s="6" t="s">
        <v>222</v>
      </c>
      <c r="H33" s="6" t="s">
        <v>223</v>
      </c>
    </row>
    <row r="34" ht="16.5" spans="1:8">
      <c r="A34" s="4" t="s">
        <v>246</v>
      </c>
      <c r="B34" s="4" t="s">
        <v>225</v>
      </c>
      <c r="C34" s="4" t="s">
        <v>247</v>
      </c>
      <c r="D34" s="4" t="s">
        <v>248</v>
      </c>
      <c r="E34" s="4" t="s">
        <v>248</v>
      </c>
      <c r="F34" s="17" t="s">
        <v>210</v>
      </c>
      <c r="G34" s="4" t="s">
        <v>249</v>
      </c>
      <c r="H34" s="4" t="s">
        <v>247</v>
      </c>
    </row>
    <row r="35" ht="16.5" spans="1:8">
      <c r="A35" s="6" t="s">
        <v>250</v>
      </c>
      <c r="B35" s="6" t="s">
        <v>251</v>
      </c>
      <c r="C35" s="6" t="s">
        <v>252</v>
      </c>
      <c r="D35" s="6" t="s">
        <v>253</v>
      </c>
      <c r="E35" s="6" t="s">
        <v>253</v>
      </c>
      <c r="F35" s="13" t="s">
        <v>119</v>
      </c>
      <c r="G35" s="6" t="s">
        <v>190</v>
      </c>
      <c r="H35" s="6" t="s">
        <v>254</v>
      </c>
    </row>
    <row r="36" ht="16.5" spans="1:8">
      <c r="A36" s="4" t="s">
        <v>255</v>
      </c>
      <c r="B36" s="4" t="s">
        <v>251</v>
      </c>
      <c r="C36" s="4" t="s">
        <v>256</v>
      </c>
      <c r="D36" s="4" t="s">
        <v>257</v>
      </c>
      <c r="E36" s="4" t="s">
        <v>257</v>
      </c>
      <c r="F36" s="12" t="s">
        <v>119</v>
      </c>
      <c r="G36" s="4" t="s">
        <v>258</v>
      </c>
      <c r="H36" s="4" t="s">
        <v>259</v>
      </c>
    </row>
    <row r="37" ht="16.5" spans="1:8">
      <c r="A37" s="6" t="s">
        <v>260</v>
      </c>
      <c r="B37" s="6" t="s">
        <v>251</v>
      </c>
      <c r="C37" s="6" t="s">
        <v>261</v>
      </c>
      <c r="D37" s="6" t="s">
        <v>262</v>
      </c>
      <c r="E37" s="6" t="s">
        <v>262</v>
      </c>
      <c r="F37" s="13" t="s">
        <v>119</v>
      </c>
      <c r="G37" s="6" t="s">
        <v>141</v>
      </c>
      <c r="H37" s="6" t="s">
        <v>263</v>
      </c>
    </row>
    <row r="38" ht="16.5" spans="1:8">
      <c r="A38" s="4" t="s">
        <v>264</v>
      </c>
      <c r="B38" s="4" t="s">
        <v>251</v>
      </c>
      <c r="C38" s="4" t="s">
        <v>265</v>
      </c>
      <c r="D38" s="4" t="s">
        <v>266</v>
      </c>
      <c r="E38" s="4" t="s">
        <v>266</v>
      </c>
      <c r="F38" s="17" t="s">
        <v>210</v>
      </c>
      <c r="G38" s="4" t="s">
        <v>190</v>
      </c>
      <c r="H38" s="4" t="s">
        <v>267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topLeftCell="A49" workbookViewId="0">
      <pane xSplit="1" topLeftCell="B1" activePane="topRight" state="frozen"/>
      <selection/>
      <selection pane="topRight" activeCell="A1" sqref="A1:E1"/>
    </sheetView>
  </sheetViews>
  <sheetFormatPr defaultColWidth="9" defaultRowHeight="13.5" outlineLevelCol="4"/>
  <cols>
    <col min="1" max="1" width="18" customWidth="1"/>
    <col min="2" max="2" width="20" customWidth="1"/>
    <col min="3" max="3" width="19" customWidth="1"/>
    <col min="4" max="4" width="36" customWidth="1"/>
    <col min="5" max="5" width="26" customWidth="1"/>
  </cols>
  <sheetData>
    <row r="1" ht="40" customHeight="1" spans="1:5">
      <c r="A1" s="1" t="s">
        <v>268</v>
      </c>
    </row>
    <row r="3" ht="28" customHeight="1" spans="1:5">
      <c r="A3" s="2" t="s">
        <v>254</v>
      </c>
      <c r="B3" s="2" t="s">
        <v>269</v>
      </c>
      <c r="C3" s="2" t="s">
        <v>270</v>
      </c>
      <c r="D3" s="2" t="s">
        <v>271</v>
      </c>
      <c r="E3" s="2" t="s">
        <v>272</v>
      </c>
    </row>
    <row r="4" ht="16.5" spans="1:5">
      <c r="A4" s="4" t="s">
        <v>273</v>
      </c>
      <c r="B4" s="4" t="s">
        <v>274</v>
      </c>
      <c r="C4" s="4" t="s">
        <v>275</v>
      </c>
      <c r="D4" s="4" t="s">
        <v>276</v>
      </c>
      <c r="E4" s="4" t="s">
        <v>277</v>
      </c>
    </row>
    <row r="5" ht="16.5" spans="1:5">
      <c r="A5" s="6" t="s">
        <v>273</v>
      </c>
      <c r="B5" s="6" t="s">
        <v>278</v>
      </c>
      <c r="C5" s="6" t="s">
        <v>275</v>
      </c>
      <c r="D5" s="6" t="s">
        <v>279</v>
      </c>
      <c r="E5" s="6" t="s">
        <v>280</v>
      </c>
    </row>
    <row r="6" ht="16.5" spans="1:5">
      <c r="A6" s="4" t="s">
        <v>273</v>
      </c>
      <c r="B6" s="4" t="s">
        <v>281</v>
      </c>
      <c r="C6" s="4" t="s">
        <v>275</v>
      </c>
      <c r="D6" s="4" t="s">
        <v>282</v>
      </c>
      <c r="E6" s="4" t="s">
        <v>283</v>
      </c>
    </row>
    <row r="7" ht="16.5" spans="1:5">
      <c r="A7" s="6" t="s">
        <v>273</v>
      </c>
      <c r="B7" s="6" t="s">
        <v>284</v>
      </c>
      <c r="C7" s="6" t="s">
        <v>275</v>
      </c>
      <c r="D7" s="6" t="s">
        <v>280</v>
      </c>
      <c r="E7" s="6" t="s">
        <v>280</v>
      </c>
    </row>
    <row r="8" ht="16.5" spans="1:5">
      <c r="A8" s="4" t="s">
        <v>273</v>
      </c>
      <c r="B8" s="4" t="s">
        <v>285</v>
      </c>
      <c r="C8" s="4" t="s">
        <v>275</v>
      </c>
      <c r="D8" s="4" t="s">
        <v>280</v>
      </c>
      <c r="E8" s="4" t="s">
        <v>280</v>
      </c>
    </row>
    <row r="9" ht="16.5" spans="1:5">
      <c r="A9" s="6" t="s">
        <v>273</v>
      </c>
      <c r="B9" s="6" t="s">
        <v>286</v>
      </c>
      <c r="C9" s="6" t="s">
        <v>275</v>
      </c>
      <c r="D9" s="6" t="s">
        <v>280</v>
      </c>
      <c r="E9" s="6" t="s">
        <v>280</v>
      </c>
    </row>
    <row r="10" ht="16.5" spans="1:5">
      <c r="A10" s="4" t="s">
        <v>273</v>
      </c>
      <c r="B10" s="4" t="s">
        <v>287</v>
      </c>
      <c r="C10" s="4" t="s">
        <v>275</v>
      </c>
      <c r="D10" s="4" t="s">
        <v>280</v>
      </c>
      <c r="E10" s="4" t="s">
        <v>280</v>
      </c>
    </row>
    <row r="11" ht="16.5" spans="1:5">
      <c r="A11" s="6" t="s">
        <v>273</v>
      </c>
      <c r="B11" s="6" t="s">
        <v>288</v>
      </c>
      <c r="C11" s="6" t="s">
        <v>289</v>
      </c>
      <c r="D11" s="6" t="s">
        <v>290</v>
      </c>
      <c r="E11" s="6" t="s">
        <v>280</v>
      </c>
    </row>
    <row r="12" ht="16.5" spans="1:5">
      <c r="A12" s="4" t="s">
        <v>273</v>
      </c>
      <c r="B12" s="4" t="s">
        <v>291</v>
      </c>
      <c r="C12" s="4" t="s">
        <v>292</v>
      </c>
      <c r="D12" s="4" t="s">
        <v>280</v>
      </c>
      <c r="E12" s="4" t="s">
        <v>280</v>
      </c>
    </row>
    <row r="13" ht="16.5" spans="1:5">
      <c r="A13" s="6" t="s">
        <v>273</v>
      </c>
      <c r="B13" s="6" t="s">
        <v>272</v>
      </c>
      <c r="C13" s="6" t="s">
        <v>275</v>
      </c>
      <c r="D13" s="6" t="s">
        <v>280</v>
      </c>
      <c r="E13" s="6" t="s">
        <v>280</v>
      </c>
    </row>
    <row r="14" ht="16.5" spans="1:5">
      <c r="A14" s="4" t="s">
        <v>293</v>
      </c>
      <c r="B14" s="4" t="s">
        <v>294</v>
      </c>
      <c r="C14" s="4" t="s">
        <v>275</v>
      </c>
      <c r="D14" s="4" t="s">
        <v>276</v>
      </c>
      <c r="E14" s="4" t="s">
        <v>277</v>
      </c>
    </row>
    <row r="15" ht="16.5" spans="1:5">
      <c r="A15" s="6" t="s">
        <v>293</v>
      </c>
      <c r="B15" s="6" t="s">
        <v>295</v>
      </c>
      <c r="C15" s="6" t="s">
        <v>292</v>
      </c>
      <c r="D15" s="6" t="s">
        <v>279</v>
      </c>
      <c r="E15" s="6" t="s">
        <v>280</v>
      </c>
    </row>
    <row r="16" ht="16.5" spans="1:5">
      <c r="A16" s="4" t="s">
        <v>293</v>
      </c>
      <c r="B16" s="4" t="s">
        <v>296</v>
      </c>
      <c r="C16" s="4" t="s">
        <v>297</v>
      </c>
      <c r="D16" s="4" t="s">
        <v>279</v>
      </c>
      <c r="E16" s="4" t="s">
        <v>298</v>
      </c>
    </row>
    <row r="17" ht="16.5" spans="1:5">
      <c r="A17" s="6" t="s">
        <v>293</v>
      </c>
      <c r="B17" s="6" t="s">
        <v>299</v>
      </c>
      <c r="C17" s="6" t="s">
        <v>300</v>
      </c>
      <c r="D17" s="6" t="s">
        <v>279</v>
      </c>
      <c r="E17" s="6" t="s">
        <v>301</v>
      </c>
    </row>
    <row r="18" ht="16.5" spans="1:5">
      <c r="A18" s="4" t="s">
        <v>293</v>
      </c>
      <c r="B18" s="4" t="s">
        <v>302</v>
      </c>
      <c r="C18" s="4" t="s">
        <v>303</v>
      </c>
      <c r="D18" s="4" t="s">
        <v>304</v>
      </c>
      <c r="E18" s="4" t="s">
        <v>305</v>
      </c>
    </row>
    <row r="19" ht="16.5" spans="1:5">
      <c r="A19" s="6" t="s">
        <v>293</v>
      </c>
      <c r="B19" s="6" t="s">
        <v>306</v>
      </c>
      <c r="C19" s="6" t="s">
        <v>289</v>
      </c>
      <c r="D19" s="6" t="s">
        <v>307</v>
      </c>
      <c r="E19" s="6" t="s">
        <v>280</v>
      </c>
    </row>
    <row r="20" ht="16.5" spans="1:5">
      <c r="A20" s="4" t="s">
        <v>293</v>
      </c>
      <c r="B20" s="4" t="s">
        <v>308</v>
      </c>
      <c r="C20" s="4" t="s">
        <v>309</v>
      </c>
      <c r="D20" s="4" t="s">
        <v>279</v>
      </c>
      <c r="E20" s="4" t="s">
        <v>310</v>
      </c>
    </row>
    <row r="21" ht="16.5" spans="1:5">
      <c r="A21" s="6" t="s">
        <v>293</v>
      </c>
      <c r="B21" s="6" t="s">
        <v>311</v>
      </c>
      <c r="C21" s="6" t="s">
        <v>309</v>
      </c>
      <c r="D21" s="6" t="s">
        <v>312</v>
      </c>
      <c r="E21" s="6" t="e">
        <f>发票金额×税率</f>
        <v>#NAME?</v>
      </c>
    </row>
    <row r="22" ht="16.5" spans="1:5">
      <c r="A22" s="4" t="s">
        <v>293</v>
      </c>
      <c r="B22" s="4" t="s">
        <v>313</v>
      </c>
      <c r="C22" s="4" t="s">
        <v>309</v>
      </c>
      <c r="D22" s="4" t="s">
        <v>312</v>
      </c>
      <c r="E22" s="4" t="e">
        <f>发票金额+税额</f>
        <v>#NAME?</v>
      </c>
    </row>
    <row r="23" ht="16.5" spans="1:5">
      <c r="A23" s="6" t="s">
        <v>293</v>
      </c>
      <c r="B23" s="6" t="s">
        <v>314</v>
      </c>
      <c r="C23" s="6" t="s">
        <v>275</v>
      </c>
      <c r="D23" s="6" t="s">
        <v>280</v>
      </c>
      <c r="E23" s="6" t="s">
        <v>280</v>
      </c>
    </row>
    <row r="24" ht="16.5" spans="1:5">
      <c r="A24" s="4" t="s">
        <v>293</v>
      </c>
      <c r="B24" s="4" t="s">
        <v>315</v>
      </c>
      <c r="C24" s="4" t="s">
        <v>289</v>
      </c>
      <c r="D24" s="4" t="s">
        <v>316</v>
      </c>
      <c r="E24" s="4" t="s">
        <v>280</v>
      </c>
    </row>
    <row r="25" ht="16.5" spans="1:5">
      <c r="A25" s="6" t="s">
        <v>293</v>
      </c>
      <c r="B25" s="6" t="s">
        <v>317</v>
      </c>
      <c r="C25" s="6" t="s">
        <v>289</v>
      </c>
      <c r="D25" s="6" t="s">
        <v>318</v>
      </c>
      <c r="E25" s="6" t="s">
        <v>280</v>
      </c>
    </row>
    <row r="26" ht="16.5" spans="1:5">
      <c r="A26" s="4" t="s">
        <v>293</v>
      </c>
      <c r="B26" s="4" t="s">
        <v>319</v>
      </c>
      <c r="C26" s="4" t="s">
        <v>303</v>
      </c>
      <c r="D26" s="4" t="s">
        <v>320</v>
      </c>
      <c r="E26" s="4" t="s">
        <v>305</v>
      </c>
    </row>
    <row r="27" ht="16.5" spans="1:5">
      <c r="A27" s="6" t="s">
        <v>293</v>
      </c>
      <c r="B27" s="6" t="s">
        <v>321</v>
      </c>
      <c r="C27" s="6" t="s">
        <v>292</v>
      </c>
      <c r="D27" s="6" t="s">
        <v>322</v>
      </c>
      <c r="E27" s="6" t="s">
        <v>323</v>
      </c>
    </row>
    <row r="28" ht="16.5" spans="1:5">
      <c r="A28" s="4" t="s">
        <v>293</v>
      </c>
      <c r="B28" s="4" t="s">
        <v>324</v>
      </c>
      <c r="C28" s="4" t="s">
        <v>292</v>
      </c>
      <c r="D28" s="4" t="s">
        <v>322</v>
      </c>
      <c r="E28" s="4" t="s">
        <v>323</v>
      </c>
    </row>
    <row r="29" ht="16.5" spans="1:5">
      <c r="A29" s="6" t="s">
        <v>325</v>
      </c>
      <c r="B29" s="6" t="s">
        <v>326</v>
      </c>
      <c r="C29" s="6" t="s">
        <v>275</v>
      </c>
      <c r="D29" s="6" t="s">
        <v>276</v>
      </c>
      <c r="E29" s="6" t="s">
        <v>277</v>
      </c>
    </row>
    <row r="30" ht="16.5" spans="1:5">
      <c r="A30" s="4" t="s">
        <v>325</v>
      </c>
      <c r="B30" s="4" t="s">
        <v>327</v>
      </c>
      <c r="C30" s="4" t="s">
        <v>289</v>
      </c>
      <c r="D30" s="4" t="s">
        <v>328</v>
      </c>
      <c r="E30" s="4" t="s">
        <v>280</v>
      </c>
    </row>
    <row r="31" ht="16.5" spans="1:5">
      <c r="A31" s="6" t="s">
        <v>325</v>
      </c>
      <c r="B31" s="6" t="s">
        <v>302</v>
      </c>
      <c r="C31" s="6" t="s">
        <v>303</v>
      </c>
      <c r="D31" s="6" t="s">
        <v>304</v>
      </c>
      <c r="E31" s="6" t="s">
        <v>305</v>
      </c>
    </row>
    <row r="32" ht="16.5" spans="1:5">
      <c r="A32" s="4" t="s">
        <v>325</v>
      </c>
      <c r="B32" s="4" t="s">
        <v>329</v>
      </c>
      <c r="C32" s="4" t="s">
        <v>309</v>
      </c>
      <c r="D32" s="4" t="s">
        <v>330</v>
      </c>
      <c r="E32" s="4" t="s">
        <v>331</v>
      </c>
    </row>
    <row r="33" ht="16.5" spans="1:5">
      <c r="A33" s="6" t="s">
        <v>325</v>
      </c>
      <c r="B33" s="6" t="s">
        <v>332</v>
      </c>
      <c r="C33" s="6" t="s">
        <v>309</v>
      </c>
      <c r="D33" s="6" t="s">
        <v>333</v>
      </c>
      <c r="E33" s="6" t="s">
        <v>334</v>
      </c>
    </row>
    <row r="34" ht="16.5" spans="1:5">
      <c r="A34" s="4" t="s">
        <v>325</v>
      </c>
      <c r="B34" s="4" t="s">
        <v>335</v>
      </c>
      <c r="C34" s="4" t="s">
        <v>309</v>
      </c>
      <c r="D34" s="4" t="s">
        <v>333</v>
      </c>
      <c r="E34" s="4" t="s">
        <v>334</v>
      </c>
    </row>
    <row r="35" ht="16.5" spans="1:5">
      <c r="A35" s="6" t="s">
        <v>325</v>
      </c>
      <c r="B35" s="6" t="s">
        <v>336</v>
      </c>
      <c r="C35" s="6" t="s">
        <v>309</v>
      </c>
      <c r="D35" s="6" t="s">
        <v>312</v>
      </c>
      <c r="E35" s="6" t="e">
        <f>需求总金额-已签约金额</f>
        <v>#NAME?</v>
      </c>
    </row>
    <row r="36" ht="16.5" spans="1:5">
      <c r="A36" s="4" t="s">
        <v>325</v>
      </c>
      <c r="B36" s="4" t="s">
        <v>337</v>
      </c>
      <c r="C36" s="4" t="s">
        <v>309</v>
      </c>
      <c r="D36" s="4" t="s">
        <v>312</v>
      </c>
      <c r="E36" s="4" t="e">
        <f>已签约金额/需求总金额</f>
        <v>#NAME?</v>
      </c>
    </row>
    <row r="37" ht="16.5" spans="1:5">
      <c r="A37" s="6" t="s">
        <v>338</v>
      </c>
      <c r="B37" s="6" t="s">
        <v>339</v>
      </c>
      <c r="C37" s="6" t="s">
        <v>275</v>
      </c>
      <c r="D37" s="6" t="s">
        <v>276</v>
      </c>
      <c r="E37" s="6" t="s">
        <v>277</v>
      </c>
    </row>
    <row r="38" ht="16.5" spans="1:5">
      <c r="A38" s="4" t="s">
        <v>338</v>
      </c>
      <c r="B38" s="4" t="s">
        <v>340</v>
      </c>
      <c r="C38" s="4" t="s">
        <v>275</v>
      </c>
      <c r="D38" s="4" t="s">
        <v>282</v>
      </c>
      <c r="E38" s="4" t="s">
        <v>280</v>
      </c>
    </row>
    <row r="39" ht="16.5" spans="1:5">
      <c r="A39" s="6" t="s">
        <v>338</v>
      </c>
      <c r="B39" s="6" t="s">
        <v>341</v>
      </c>
      <c r="C39" s="6" t="s">
        <v>275</v>
      </c>
      <c r="D39" s="6" t="s">
        <v>279</v>
      </c>
      <c r="E39" s="6" t="s">
        <v>280</v>
      </c>
    </row>
    <row r="40" ht="16.5" spans="1:5">
      <c r="A40" s="4" t="s">
        <v>338</v>
      </c>
      <c r="B40" s="4" t="s">
        <v>302</v>
      </c>
      <c r="C40" s="4" t="s">
        <v>303</v>
      </c>
      <c r="D40" s="4" t="s">
        <v>304</v>
      </c>
      <c r="E40" s="4" t="s">
        <v>305</v>
      </c>
    </row>
    <row r="41" ht="16.5" spans="1:5">
      <c r="A41" s="6" t="s">
        <v>338</v>
      </c>
      <c r="B41" s="6" t="s">
        <v>342</v>
      </c>
      <c r="C41" s="6" t="s">
        <v>309</v>
      </c>
      <c r="D41" s="6" t="s">
        <v>279</v>
      </c>
      <c r="E41" s="6" t="s">
        <v>280</v>
      </c>
    </row>
    <row r="42" ht="16.5" spans="1:5">
      <c r="A42" s="4" t="s">
        <v>338</v>
      </c>
      <c r="B42" s="4" t="s">
        <v>343</v>
      </c>
      <c r="C42" s="4" t="s">
        <v>292</v>
      </c>
      <c r="D42" s="4" t="s">
        <v>280</v>
      </c>
      <c r="E42" s="4" t="s">
        <v>280</v>
      </c>
    </row>
    <row r="43" ht="16.5" spans="1:5">
      <c r="A43" s="6" t="s">
        <v>338</v>
      </c>
      <c r="B43" s="6" t="s">
        <v>344</v>
      </c>
      <c r="C43" s="6" t="s">
        <v>289</v>
      </c>
      <c r="D43" s="6" t="s">
        <v>345</v>
      </c>
      <c r="E43" s="6" t="s">
        <v>280</v>
      </c>
    </row>
    <row r="44" ht="16.5" spans="1:5">
      <c r="A44" s="4" t="s">
        <v>338</v>
      </c>
      <c r="B44" s="4" t="s">
        <v>346</v>
      </c>
      <c r="C44" s="4" t="s">
        <v>303</v>
      </c>
      <c r="D44" s="4" t="s">
        <v>347</v>
      </c>
      <c r="E44" s="4" t="s">
        <v>305</v>
      </c>
    </row>
    <row r="45" ht="16.5" spans="1:5">
      <c r="A45" s="6" t="s">
        <v>338</v>
      </c>
      <c r="B45" s="6" t="s">
        <v>348</v>
      </c>
      <c r="C45" s="6" t="s">
        <v>349</v>
      </c>
      <c r="D45" s="6" t="s">
        <v>280</v>
      </c>
      <c r="E45" s="6" t="s">
        <v>350</v>
      </c>
    </row>
    <row r="46" ht="16.5" spans="1:5">
      <c r="A46" s="4" t="s">
        <v>338</v>
      </c>
      <c r="B46" s="4" t="s">
        <v>351</v>
      </c>
      <c r="C46" s="4" t="s">
        <v>289</v>
      </c>
      <c r="D46" s="4" t="s">
        <v>352</v>
      </c>
      <c r="E46" s="4" t="s">
        <v>280</v>
      </c>
    </row>
    <row r="47" ht="16.5" spans="1:5">
      <c r="A47" s="6" t="s">
        <v>338</v>
      </c>
      <c r="B47" s="6" t="s">
        <v>317</v>
      </c>
      <c r="C47" s="6" t="s">
        <v>289</v>
      </c>
      <c r="D47" s="6" t="s">
        <v>318</v>
      </c>
      <c r="E47" s="6" t="s">
        <v>280</v>
      </c>
    </row>
    <row r="48" ht="16.5" spans="1:5">
      <c r="A48" s="4" t="s">
        <v>338</v>
      </c>
      <c r="B48" s="4" t="s">
        <v>353</v>
      </c>
      <c r="C48" s="4" t="s">
        <v>297</v>
      </c>
      <c r="D48" s="4" t="s">
        <v>322</v>
      </c>
      <c r="E48" s="4" t="s">
        <v>298</v>
      </c>
    </row>
    <row r="49" ht="16.5" spans="1:5">
      <c r="A49" s="6" t="s">
        <v>338</v>
      </c>
      <c r="B49" s="6" t="s">
        <v>321</v>
      </c>
      <c r="C49" s="6" t="s">
        <v>292</v>
      </c>
      <c r="D49" s="6" t="s">
        <v>322</v>
      </c>
      <c r="E49" s="6" t="s">
        <v>323</v>
      </c>
    </row>
    <row r="50" ht="16.5" spans="1:5">
      <c r="A50" s="4" t="s">
        <v>354</v>
      </c>
      <c r="B50" s="4" t="s">
        <v>355</v>
      </c>
      <c r="C50" s="4" t="s">
        <v>275</v>
      </c>
      <c r="D50" s="4" t="s">
        <v>276</v>
      </c>
      <c r="E50" s="4" t="s">
        <v>277</v>
      </c>
    </row>
    <row r="51" ht="16.5" spans="1:5">
      <c r="A51" s="6" t="s">
        <v>354</v>
      </c>
      <c r="B51" s="6" t="s">
        <v>295</v>
      </c>
      <c r="C51" s="6" t="s">
        <v>292</v>
      </c>
      <c r="D51" s="6" t="s">
        <v>279</v>
      </c>
      <c r="E51" s="6" t="s">
        <v>280</v>
      </c>
    </row>
    <row r="52" ht="16.5" spans="1:5">
      <c r="A52" s="4" t="s">
        <v>354</v>
      </c>
      <c r="B52" s="4" t="s">
        <v>296</v>
      </c>
      <c r="C52" s="4" t="s">
        <v>297</v>
      </c>
      <c r="D52" s="4" t="s">
        <v>279</v>
      </c>
      <c r="E52" s="4" t="s">
        <v>298</v>
      </c>
    </row>
    <row r="53" ht="16.5" spans="1:5">
      <c r="A53" s="6" t="s">
        <v>354</v>
      </c>
      <c r="B53" s="6" t="s">
        <v>302</v>
      </c>
      <c r="C53" s="6" t="s">
        <v>303</v>
      </c>
      <c r="D53" s="6" t="s">
        <v>304</v>
      </c>
      <c r="E53" s="6" t="s">
        <v>305</v>
      </c>
    </row>
    <row r="54" ht="16.5" spans="1:5">
      <c r="A54" s="4" t="s">
        <v>354</v>
      </c>
      <c r="B54" s="4" t="s">
        <v>356</v>
      </c>
      <c r="C54" s="4" t="s">
        <v>309</v>
      </c>
      <c r="D54" s="4" t="s">
        <v>279</v>
      </c>
      <c r="E54" s="4" t="s">
        <v>280</v>
      </c>
    </row>
    <row r="55" ht="16.5" spans="1:5">
      <c r="A55" s="6" t="s">
        <v>354</v>
      </c>
      <c r="B55" s="6" t="s">
        <v>357</v>
      </c>
      <c r="C55" s="6" t="s">
        <v>289</v>
      </c>
      <c r="D55" s="6" t="s">
        <v>358</v>
      </c>
      <c r="E55" s="6" t="s">
        <v>280</v>
      </c>
    </row>
    <row r="56" ht="16.5" spans="1:5">
      <c r="A56" s="4" t="s">
        <v>354</v>
      </c>
      <c r="B56" s="4" t="s">
        <v>319</v>
      </c>
      <c r="C56" s="4" t="s">
        <v>303</v>
      </c>
      <c r="D56" s="4" t="s">
        <v>359</v>
      </c>
      <c r="E56" s="4" t="s">
        <v>305</v>
      </c>
    </row>
    <row r="57" ht="16.5" spans="1:5">
      <c r="A57" s="6" t="s">
        <v>354</v>
      </c>
      <c r="B57" s="6" t="s">
        <v>360</v>
      </c>
      <c r="C57" s="6" t="s">
        <v>289</v>
      </c>
      <c r="D57" s="6" t="s">
        <v>361</v>
      </c>
      <c r="E57" s="6" t="s">
        <v>280</v>
      </c>
    </row>
    <row r="58" ht="16.5" spans="1:5">
      <c r="A58" s="4" t="s">
        <v>354</v>
      </c>
      <c r="B58" s="4" t="s">
        <v>317</v>
      </c>
      <c r="C58" s="4" t="s">
        <v>289</v>
      </c>
      <c r="D58" s="4" t="s">
        <v>318</v>
      </c>
      <c r="E58" s="4" t="s">
        <v>280</v>
      </c>
    </row>
    <row r="59" ht="16.5" spans="1:5">
      <c r="A59" s="6" t="s">
        <v>354</v>
      </c>
      <c r="B59" s="6" t="s">
        <v>362</v>
      </c>
      <c r="C59" s="6" t="s">
        <v>349</v>
      </c>
      <c r="D59" s="6" t="s">
        <v>280</v>
      </c>
      <c r="E59" s="6" t="s">
        <v>350</v>
      </c>
    </row>
    <row r="60" ht="16.5" spans="1:5">
      <c r="A60" s="4" t="s">
        <v>354</v>
      </c>
      <c r="B60" s="4" t="s">
        <v>363</v>
      </c>
      <c r="C60" s="4" t="s">
        <v>292</v>
      </c>
      <c r="D60" s="4" t="s">
        <v>280</v>
      </c>
      <c r="E60" s="4" t="s">
        <v>280</v>
      </c>
    </row>
    <row r="61" ht="16.5" spans="1:5">
      <c r="A61" s="6" t="s">
        <v>364</v>
      </c>
      <c r="B61" s="6" t="s">
        <v>365</v>
      </c>
      <c r="C61" s="6" t="s">
        <v>275</v>
      </c>
      <c r="D61" s="6" t="s">
        <v>276</v>
      </c>
      <c r="E61" s="6" t="s">
        <v>277</v>
      </c>
    </row>
    <row r="62" ht="16.5" spans="1:5">
      <c r="A62" s="4" t="s">
        <v>364</v>
      </c>
      <c r="B62" s="4" t="s">
        <v>346</v>
      </c>
      <c r="C62" s="4" t="s">
        <v>303</v>
      </c>
      <c r="D62" s="4" t="s">
        <v>347</v>
      </c>
      <c r="E62" s="4" t="s">
        <v>305</v>
      </c>
    </row>
    <row r="63" ht="16.5" spans="1:5">
      <c r="A63" s="6" t="s">
        <v>364</v>
      </c>
      <c r="B63" s="6" t="s">
        <v>319</v>
      </c>
      <c r="C63" s="6" t="s">
        <v>303</v>
      </c>
      <c r="D63" s="6" t="s">
        <v>359</v>
      </c>
      <c r="E63" s="6" t="s">
        <v>305</v>
      </c>
    </row>
    <row r="64" ht="16.5" spans="1:5">
      <c r="A64" s="4" t="s">
        <v>364</v>
      </c>
      <c r="B64" s="4" t="s">
        <v>302</v>
      </c>
      <c r="C64" s="4" t="s">
        <v>303</v>
      </c>
      <c r="D64" s="4" t="s">
        <v>304</v>
      </c>
      <c r="E64" s="4" t="s">
        <v>305</v>
      </c>
    </row>
    <row r="65" ht="16.5" spans="1:5">
      <c r="A65" s="6" t="s">
        <v>364</v>
      </c>
      <c r="B65" s="6" t="s">
        <v>366</v>
      </c>
      <c r="C65" s="6" t="s">
        <v>309</v>
      </c>
      <c r="D65" s="6" t="s">
        <v>279</v>
      </c>
      <c r="E65" s="6" t="s">
        <v>280</v>
      </c>
    </row>
    <row r="66" ht="16.5" spans="1:5">
      <c r="A66" s="4" t="s">
        <v>364</v>
      </c>
      <c r="B66" s="4" t="s">
        <v>367</v>
      </c>
      <c r="C66" s="4" t="s">
        <v>275</v>
      </c>
      <c r="D66" s="4" t="s">
        <v>280</v>
      </c>
      <c r="E66" s="4" t="s">
        <v>280</v>
      </c>
    </row>
    <row r="67" ht="16.5" spans="1:5">
      <c r="A67" s="6" t="s">
        <v>364</v>
      </c>
      <c r="B67" s="6" t="s">
        <v>306</v>
      </c>
      <c r="C67" s="6" t="s">
        <v>289</v>
      </c>
      <c r="D67" s="6" t="s">
        <v>307</v>
      </c>
      <c r="E67" s="6" t="s">
        <v>280</v>
      </c>
    </row>
    <row r="68" ht="16.5" spans="1:5">
      <c r="A68" s="4" t="s">
        <v>364</v>
      </c>
      <c r="B68" s="4" t="s">
        <v>368</v>
      </c>
      <c r="C68" s="4" t="s">
        <v>289</v>
      </c>
      <c r="D68" s="4" t="s">
        <v>369</v>
      </c>
      <c r="E68" s="4" t="s">
        <v>280</v>
      </c>
    </row>
    <row r="69" ht="16.5" spans="1:5">
      <c r="A69" s="6" t="s">
        <v>364</v>
      </c>
      <c r="B69" s="6" t="s">
        <v>370</v>
      </c>
      <c r="C69" s="6" t="s">
        <v>292</v>
      </c>
      <c r="D69" s="6" t="s">
        <v>280</v>
      </c>
      <c r="E69" s="6" t="s">
        <v>280</v>
      </c>
    </row>
    <row r="70" ht="16.5" spans="1:5">
      <c r="A70" s="4" t="s">
        <v>364</v>
      </c>
      <c r="B70" s="4" t="s">
        <v>371</v>
      </c>
      <c r="C70" s="4" t="s">
        <v>292</v>
      </c>
      <c r="D70" s="4" t="s">
        <v>280</v>
      </c>
      <c r="E70" s="4" t="s">
        <v>280</v>
      </c>
    </row>
    <row r="71" ht="16.5" spans="1:5">
      <c r="A71" s="6" t="s">
        <v>364</v>
      </c>
      <c r="B71" s="6" t="s">
        <v>372</v>
      </c>
      <c r="C71" s="6" t="s">
        <v>373</v>
      </c>
      <c r="D71" s="6" t="s">
        <v>280</v>
      </c>
      <c r="E71" s="6" t="s">
        <v>374</v>
      </c>
    </row>
    <row r="72" ht="16.5" spans="1:5">
      <c r="A72" s="4" t="s">
        <v>364</v>
      </c>
      <c r="B72" s="4" t="s">
        <v>375</v>
      </c>
      <c r="C72" s="4" t="s">
        <v>376</v>
      </c>
      <c r="D72" s="4" t="s">
        <v>280</v>
      </c>
      <c r="E72" s="4" t="s">
        <v>377</v>
      </c>
    </row>
    <row r="73" ht="16.5" spans="1:5">
      <c r="A73" s="6" t="s">
        <v>364</v>
      </c>
      <c r="B73" s="6" t="s">
        <v>378</v>
      </c>
      <c r="C73" s="6" t="s">
        <v>309</v>
      </c>
      <c r="D73" s="6" t="s">
        <v>312</v>
      </c>
      <c r="E73" s="6" t="e">
        <f ca="1">TODAY()-申请开票日期</f>
        <v>#NAME?</v>
      </c>
    </row>
    <row r="74" ht="16.5" spans="1:5">
      <c r="A74" s="4" t="s">
        <v>364</v>
      </c>
      <c r="B74" s="4" t="s">
        <v>379</v>
      </c>
      <c r="C74" s="4" t="s">
        <v>309</v>
      </c>
      <c r="D74" s="4" t="s">
        <v>280</v>
      </c>
      <c r="E74" s="4" t="s">
        <v>380</v>
      </c>
    </row>
    <row r="75" ht="16.5" spans="1:5">
      <c r="A75" s="6" t="s">
        <v>381</v>
      </c>
      <c r="B75" s="6" t="s">
        <v>382</v>
      </c>
      <c r="C75" s="6" t="s">
        <v>275</v>
      </c>
      <c r="D75" s="6" t="s">
        <v>276</v>
      </c>
      <c r="E75" s="6" t="s">
        <v>277</v>
      </c>
    </row>
    <row r="76" ht="16.5" spans="1:5">
      <c r="A76" s="4" t="s">
        <v>381</v>
      </c>
      <c r="B76" s="4" t="s">
        <v>295</v>
      </c>
      <c r="C76" s="4" t="s">
        <v>292</v>
      </c>
      <c r="D76" s="4" t="s">
        <v>279</v>
      </c>
      <c r="E76" s="4" t="s">
        <v>280</v>
      </c>
    </row>
    <row r="77" ht="16.5" spans="1:5">
      <c r="A77" s="6" t="s">
        <v>381</v>
      </c>
      <c r="B77" s="6" t="s">
        <v>296</v>
      </c>
      <c r="C77" s="6" t="s">
        <v>297</v>
      </c>
      <c r="D77" s="6" t="s">
        <v>279</v>
      </c>
      <c r="E77" s="6" t="s">
        <v>298</v>
      </c>
    </row>
    <row r="78" ht="16.5" spans="1:5">
      <c r="A78" s="4" t="s">
        <v>381</v>
      </c>
      <c r="B78" s="4" t="s">
        <v>302</v>
      </c>
      <c r="C78" s="4" t="s">
        <v>303</v>
      </c>
      <c r="D78" s="4" t="s">
        <v>304</v>
      </c>
      <c r="E78" s="4" t="s">
        <v>305</v>
      </c>
    </row>
    <row r="79" ht="16.5" spans="1:5">
      <c r="A79" s="6" t="s">
        <v>381</v>
      </c>
      <c r="B79" s="6" t="s">
        <v>383</v>
      </c>
      <c r="C79" s="6" t="s">
        <v>309</v>
      </c>
      <c r="D79" s="6" t="s">
        <v>279</v>
      </c>
      <c r="E79" s="6" t="s">
        <v>280</v>
      </c>
    </row>
    <row r="80" ht="16.5" spans="1:5">
      <c r="A80" s="4" t="s">
        <v>381</v>
      </c>
      <c r="B80" s="4" t="s">
        <v>384</v>
      </c>
      <c r="C80" s="4" t="s">
        <v>289</v>
      </c>
      <c r="D80" s="4" t="s">
        <v>385</v>
      </c>
      <c r="E80" s="4" t="s">
        <v>280</v>
      </c>
    </row>
    <row r="81" ht="16.5" spans="1:5">
      <c r="A81" s="6" t="s">
        <v>381</v>
      </c>
      <c r="B81" s="6" t="s">
        <v>319</v>
      </c>
      <c r="C81" s="6" t="s">
        <v>303</v>
      </c>
      <c r="D81" s="6" t="s">
        <v>359</v>
      </c>
      <c r="E81" s="6" t="s">
        <v>305</v>
      </c>
    </row>
    <row r="82" ht="16.5" spans="1:5">
      <c r="A82" s="4" t="s">
        <v>381</v>
      </c>
      <c r="B82" s="4" t="s">
        <v>317</v>
      </c>
      <c r="C82" s="4" t="s">
        <v>289</v>
      </c>
      <c r="D82" s="4" t="s">
        <v>318</v>
      </c>
      <c r="E82" s="4" t="s">
        <v>280</v>
      </c>
    </row>
    <row r="83" ht="16.5" spans="1:5">
      <c r="A83" s="6" t="s">
        <v>381</v>
      </c>
      <c r="B83" s="6" t="s">
        <v>272</v>
      </c>
      <c r="C83" s="6" t="s">
        <v>275</v>
      </c>
      <c r="D83" s="6" t="s">
        <v>280</v>
      </c>
      <c r="E83" s="6" t="s">
        <v>280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xSplit="1" topLeftCell="B1" activePane="topRight" state="frozen"/>
      <selection/>
      <selection pane="topRight" activeCell="D21" sqref="D21"/>
    </sheetView>
  </sheetViews>
  <sheetFormatPr defaultColWidth="9" defaultRowHeight="13.5" outlineLevelRow="7" outlineLevelCol="4"/>
  <cols>
    <col min="1" max="1" width="16" customWidth="1"/>
    <col min="2" max="3" width="45" customWidth="1"/>
    <col min="4" max="4" width="36" customWidth="1"/>
    <col min="5" max="5" width="10" customWidth="1"/>
  </cols>
  <sheetData>
    <row r="1" ht="40" customHeight="1" spans="1:5">
      <c r="A1" s="1" t="s">
        <v>386</v>
      </c>
    </row>
    <row r="3" ht="28" customHeight="1" spans="1:5">
      <c r="A3" s="2" t="s">
        <v>387</v>
      </c>
      <c r="B3" s="2" t="s">
        <v>388</v>
      </c>
      <c r="C3" s="2" t="s">
        <v>389</v>
      </c>
      <c r="D3" s="2" t="s">
        <v>390</v>
      </c>
      <c r="E3" s="2" t="s">
        <v>272</v>
      </c>
    </row>
    <row r="4" ht="50" customHeight="1" spans="1:5">
      <c r="A4" s="4" t="s">
        <v>391</v>
      </c>
      <c r="B4" s="4" t="s">
        <v>392</v>
      </c>
      <c r="C4" s="4" t="s">
        <v>393</v>
      </c>
      <c r="D4" s="4" t="s">
        <v>394</v>
      </c>
      <c r="E4" s="4" t="s">
        <v>280</v>
      </c>
    </row>
    <row r="5" ht="50" customHeight="1" spans="1:5">
      <c r="A5" s="6" t="s">
        <v>395</v>
      </c>
      <c r="B5" s="6" t="s">
        <v>396</v>
      </c>
      <c r="C5" s="6" t="s">
        <v>397</v>
      </c>
      <c r="D5" s="6" t="s">
        <v>398</v>
      </c>
      <c r="E5" s="6" t="s">
        <v>280</v>
      </c>
    </row>
    <row r="6" ht="50" customHeight="1" spans="1:5">
      <c r="A6" s="4" t="s">
        <v>399</v>
      </c>
      <c r="B6" s="4" t="s">
        <v>400</v>
      </c>
      <c r="C6" s="4" t="s">
        <v>401</v>
      </c>
      <c r="D6" s="4" t="s">
        <v>402</v>
      </c>
      <c r="E6" s="4" t="s">
        <v>280</v>
      </c>
    </row>
    <row r="7" ht="50" customHeight="1" spans="1:5">
      <c r="A7" s="6" t="s">
        <v>403</v>
      </c>
      <c r="B7" s="6" t="s">
        <v>404</v>
      </c>
      <c r="C7" s="6" t="s">
        <v>405</v>
      </c>
      <c r="D7" s="6" t="s">
        <v>406</v>
      </c>
      <c r="E7" s="6" t="s">
        <v>280</v>
      </c>
    </row>
    <row r="8" ht="50" customHeight="1" spans="1:5">
      <c r="A8" s="4" t="s">
        <v>407</v>
      </c>
      <c r="B8" s="4" t="s">
        <v>408</v>
      </c>
      <c r="C8" s="4" t="s">
        <v>409</v>
      </c>
      <c r="D8" s="4" t="s">
        <v>398</v>
      </c>
      <c r="E8" s="4" t="s">
        <v>280</v>
      </c>
    </row>
  </sheetData>
  <mergeCells count="1">
    <mergeCell ref="A1: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xSplit="1" topLeftCell="B1" activePane="topRight" state="frozen"/>
      <selection/>
      <selection pane="topRight" activeCell="A1" sqref="A1:F1"/>
    </sheetView>
  </sheetViews>
  <sheetFormatPr defaultColWidth="9" defaultRowHeight="13.5" outlineLevelCol="5"/>
  <cols>
    <col min="1" max="1" width="14" customWidth="1"/>
    <col min="2" max="2" width="20" customWidth="1"/>
    <col min="3" max="3" width="16" customWidth="1"/>
    <col min="4" max="4" width="26" customWidth="1"/>
    <col min="5" max="5" width="45" customWidth="1"/>
    <col min="6" max="6" width="23" customWidth="1"/>
  </cols>
  <sheetData>
    <row r="1" ht="40" customHeight="1" spans="1:6">
      <c r="A1" s="1" t="s">
        <v>410</v>
      </c>
    </row>
    <row r="3" ht="28" customHeight="1" spans="1:6">
      <c r="A3" s="2" t="s">
        <v>411</v>
      </c>
      <c r="B3" s="2" t="s">
        <v>412</v>
      </c>
      <c r="C3" s="2" t="s">
        <v>413</v>
      </c>
      <c r="D3" s="2" t="s">
        <v>414</v>
      </c>
      <c r="E3" s="2" t="s">
        <v>114</v>
      </c>
      <c r="F3" s="2" t="s">
        <v>415</v>
      </c>
    </row>
    <row r="4" ht="16.5" spans="1:6">
      <c r="A4" s="4" t="s">
        <v>416</v>
      </c>
      <c r="B4" s="4" t="s">
        <v>417</v>
      </c>
      <c r="C4" s="4" t="s">
        <v>418</v>
      </c>
      <c r="D4" s="4" t="s">
        <v>419</v>
      </c>
      <c r="E4" s="4" t="s">
        <v>420</v>
      </c>
      <c r="F4" s="4" t="s">
        <v>421</v>
      </c>
    </row>
    <row r="5" ht="16.5" spans="1:6">
      <c r="A5" s="6" t="s">
        <v>422</v>
      </c>
      <c r="B5" s="6" t="s">
        <v>423</v>
      </c>
      <c r="C5" s="6" t="s">
        <v>424</v>
      </c>
      <c r="D5" s="6" t="s">
        <v>425</v>
      </c>
      <c r="E5" s="6" t="s">
        <v>426</v>
      </c>
      <c r="F5" s="6" t="s">
        <v>427</v>
      </c>
    </row>
    <row r="6" ht="16.5" spans="1:6">
      <c r="A6" s="4" t="s">
        <v>428</v>
      </c>
      <c r="B6" s="4" t="s">
        <v>429</v>
      </c>
      <c r="C6" s="4" t="s">
        <v>247</v>
      </c>
      <c r="D6" s="4" t="s">
        <v>430</v>
      </c>
      <c r="E6" s="4" t="s">
        <v>431</v>
      </c>
      <c r="F6" s="4" t="s">
        <v>432</v>
      </c>
    </row>
    <row r="7" ht="16.5" spans="1:6">
      <c r="A7" s="6" t="s">
        <v>433</v>
      </c>
      <c r="B7" s="6" t="s">
        <v>434</v>
      </c>
      <c r="C7" s="6" t="s">
        <v>229</v>
      </c>
      <c r="D7" s="6" t="s">
        <v>229</v>
      </c>
      <c r="E7" s="6" t="s">
        <v>435</v>
      </c>
      <c r="F7" s="6" t="s">
        <v>436</v>
      </c>
    </row>
    <row r="8" ht="16.5" spans="1:6">
      <c r="A8" s="4" t="s">
        <v>437</v>
      </c>
      <c r="B8" s="4" t="s">
        <v>438</v>
      </c>
      <c r="C8" s="4" t="s">
        <v>439</v>
      </c>
      <c r="D8" s="4" t="s">
        <v>440</v>
      </c>
      <c r="E8" s="4" t="s">
        <v>441</v>
      </c>
      <c r="F8" s="4" t="s">
        <v>442</v>
      </c>
    </row>
    <row r="9" ht="16.5" spans="1:6">
      <c r="A9" s="6" t="s">
        <v>443</v>
      </c>
      <c r="B9" s="6" t="s">
        <v>444</v>
      </c>
      <c r="C9" s="6" t="s">
        <v>445</v>
      </c>
      <c r="D9" s="6" t="s">
        <v>425</v>
      </c>
      <c r="E9" s="6" t="s">
        <v>446</v>
      </c>
      <c r="F9" s="6" t="s">
        <v>447</v>
      </c>
    </row>
    <row r="10" ht="16.5" spans="1:6">
      <c r="A10" s="4" t="s">
        <v>448</v>
      </c>
      <c r="B10" s="4" t="s">
        <v>449</v>
      </c>
      <c r="C10" s="4" t="s">
        <v>450</v>
      </c>
      <c r="D10" s="4" t="s">
        <v>451</v>
      </c>
      <c r="E10" s="4" t="s">
        <v>452</v>
      </c>
      <c r="F10" s="4" t="s">
        <v>453</v>
      </c>
    </row>
    <row r="11" ht="16.5" spans="1:6">
      <c r="A11" s="6" t="s">
        <v>454</v>
      </c>
      <c r="B11" s="6" t="s">
        <v>455</v>
      </c>
      <c r="C11" s="6" t="s">
        <v>456</v>
      </c>
      <c r="D11" s="6" t="s">
        <v>457</v>
      </c>
      <c r="E11" s="6" t="s">
        <v>458</v>
      </c>
      <c r="F11" s="6" t="s">
        <v>459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pane xSplit="1" topLeftCell="B1" activePane="topRight" state="frozen"/>
      <selection/>
      <selection pane="topRight" activeCell="A1" sqref="A1:H1"/>
    </sheetView>
  </sheetViews>
  <sheetFormatPr defaultColWidth="9" defaultRowHeight="13.5" outlineLevelCol="7"/>
  <cols>
    <col min="1" max="1" width="16" customWidth="1"/>
    <col min="2" max="2" width="17" customWidth="1"/>
    <col min="3" max="3" width="19" customWidth="1"/>
    <col min="4" max="5" width="22" customWidth="1"/>
    <col min="6" max="6" width="17" customWidth="1"/>
    <col min="7" max="7" width="19" customWidth="1"/>
    <col min="8" max="8" width="24" customWidth="1"/>
  </cols>
  <sheetData>
    <row r="1" ht="40" customHeight="1" spans="1:8">
      <c r="A1" s="1" t="s">
        <v>460</v>
      </c>
    </row>
    <row r="3" ht="28" customHeight="1" spans="1:8">
      <c r="A3" s="2" t="s">
        <v>461</v>
      </c>
      <c r="B3" s="2" t="s">
        <v>462</v>
      </c>
      <c r="C3" s="2" t="s">
        <v>463</v>
      </c>
      <c r="D3" s="2" t="s">
        <v>464</v>
      </c>
      <c r="E3" s="2" t="s">
        <v>465</v>
      </c>
      <c r="F3" s="2" t="s">
        <v>466</v>
      </c>
      <c r="G3" s="2" t="s">
        <v>467</v>
      </c>
      <c r="H3" s="2" t="s">
        <v>468</v>
      </c>
    </row>
    <row r="4" ht="16.5" spans="1:8">
      <c r="A4" s="3" t="s">
        <v>469</v>
      </c>
      <c r="B4" s="4" t="s">
        <v>470</v>
      </c>
      <c r="C4" s="4" t="s">
        <v>471</v>
      </c>
      <c r="D4" s="4" t="s">
        <v>470</v>
      </c>
      <c r="E4" s="4" t="s">
        <v>470</v>
      </c>
      <c r="F4" s="4" t="s">
        <v>472</v>
      </c>
      <c r="G4" s="4" t="s">
        <v>471</v>
      </c>
      <c r="H4" s="4" t="s">
        <v>473</v>
      </c>
    </row>
    <row r="5" ht="16.5" spans="1:8">
      <c r="A5" s="5" t="s">
        <v>474</v>
      </c>
      <c r="B5" s="6" t="s">
        <v>470</v>
      </c>
      <c r="C5" s="6" t="s">
        <v>475</v>
      </c>
      <c r="D5" s="6" t="s">
        <v>476</v>
      </c>
      <c r="E5" s="6" t="s">
        <v>476</v>
      </c>
      <c r="F5" s="6" t="s">
        <v>476</v>
      </c>
      <c r="G5" s="6" t="s">
        <v>475</v>
      </c>
      <c r="H5" s="6" t="s">
        <v>477</v>
      </c>
    </row>
    <row r="6" ht="16.5" spans="1:8">
      <c r="A6" s="3" t="s">
        <v>478</v>
      </c>
      <c r="B6" s="4" t="s">
        <v>472</v>
      </c>
      <c r="C6" s="4" t="s">
        <v>479</v>
      </c>
      <c r="D6" s="4" t="s">
        <v>480</v>
      </c>
      <c r="E6" s="4" t="s">
        <v>480</v>
      </c>
      <c r="F6" s="4" t="s">
        <v>481</v>
      </c>
      <c r="G6" s="4" t="s">
        <v>482</v>
      </c>
      <c r="H6" s="4" t="s">
        <v>483</v>
      </c>
    </row>
    <row r="7" ht="16.5" spans="1:8">
      <c r="A7" s="5" t="s">
        <v>484</v>
      </c>
      <c r="B7" s="6" t="s">
        <v>470</v>
      </c>
      <c r="C7" s="6" t="s">
        <v>470</v>
      </c>
      <c r="D7" s="6" t="s">
        <v>485</v>
      </c>
      <c r="E7" s="6" t="s">
        <v>470</v>
      </c>
      <c r="F7" s="6" t="s">
        <v>470</v>
      </c>
      <c r="G7" s="6" t="s">
        <v>470</v>
      </c>
      <c r="H7" s="6" t="s">
        <v>486</v>
      </c>
    </row>
    <row r="8" ht="16.5" spans="1:8">
      <c r="A8" s="3" t="s">
        <v>487</v>
      </c>
      <c r="B8" s="4" t="s">
        <v>470</v>
      </c>
      <c r="C8" s="4" t="s">
        <v>470</v>
      </c>
      <c r="D8" s="4" t="s">
        <v>470</v>
      </c>
      <c r="E8" s="4" t="s">
        <v>470</v>
      </c>
      <c r="F8" s="4" t="s">
        <v>470</v>
      </c>
      <c r="G8" s="4" t="s">
        <v>470</v>
      </c>
      <c r="H8" s="4" t="s">
        <v>488</v>
      </c>
    </row>
    <row r="9" ht="16.5" spans="1:8">
      <c r="A9" s="5" t="s">
        <v>489</v>
      </c>
      <c r="B9" s="6" t="s">
        <v>490</v>
      </c>
      <c r="C9" s="6" t="s">
        <v>479</v>
      </c>
      <c r="D9" s="6" t="s">
        <v>482</v>
      </c>
      <c r="E9" s="6" t="s">
        <v>482</v>
      </c>
      <c r="F9" s="6" t="s">
        <v>479</v>
      </c>
      <c r="G9" s="6" t="s">
        <v>482</v>
      </c>
      <c r="H9" s="6" t="s">
        <v>491</v>
      </c>
    </row>
    <row r="10" ht="16.5" spans="1:8">
      <c r="A10" s="3" t="s">
        <v>492</v>
      </c>
      <c r="B10" s="4" t="s">
        <v>490</v>
      </c>
      <c r="C10" s="4" t="s">
        <v>479</v>
      </c>
      <c r="D10" s="4" t="s">
        <v>482</v>
      </c>
      <c r="E10" s="4" t="s">
        <v>482</v>
      </c>
      <c r="F10" s="4" t="s">
        <v>479</v>
      </c>
      <c r="G10" s="4" t="s">
        <v>482</v>
      </c>
      <c r="H10" s="4" t="s">
        <v>493</v>
      </c>
    </row>
    <row r="11" ht="16.5" spans="1:8">
      <c r="A11" s="5" t="s">
        <v>494</v>
      </c>
      <c r="B11" s="6" t="s">
        <v>495</v>
      </c>
      <c r="C11" s="6" t="s">
        <v>495</v>
      </c>
      <c r="D11" s="6" t="s">
        <v>495</v>
      </c>
      <c r="E11" s="6" t="s">
        <v>495</v>
      </c>
      <c r="F11" s="6" t="s">
        <v>495</v>
      </c>
      <c r="G11" s="6" t="s">
        <v>495</v>
      </c>
      <c r="H11" s="6" t="s">
        <v>261</v>
      </c>
    </row>
  </sheetData>
  <mergeCells count="1">
    <mergeCell ref="A1:H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pane xSplit="1" topLeftCell="B1" activePane="topRight" state="frozen"/>
      <selection/>
      <selection pane="topRight" activeCell="E58" sqref="E58"/>
    </sheetView>
  </sheetViews>
  <sheetFormatPr defaultColWidth="9" defaultRowHeight="13.5" outlineLevelCol="7"/>
  <cols>
    <col min="1" max="1" width="16" customWidth="1"/>
    <col min="2" max="2" width="18" customWidth="1"/>
    <col min="3" max="3" width="12" customWidth="1"/>
    <col min="4" max="4" width="18" customWidth="1"/>
    <col min="5" max="5" width="20" customWidth="1"/>
    <col min="6" max="6" width="45" customWidth="1"/>
    <col min="7" max="7" width="12" customWidth="1"/>
    <col min="8" max="8" width="15" customWidth="1"/>
  </cols>
  <sheetData>
    <row r="1" ht="40" customHeight="1" spans="1:8">
      <c r="A1" s="1" t="s">
        <v>496</v>
      </c>
    </row>
    <row r="3" ht="28" customHeight="1" spans="1:8">
      <c r="A3" s="2" t="s">
        <v>497</v>
      </c>
      <c r="B3" s="2" t="s">
        <v>498</v>
      </c>
      <c r="C3" s="2" t="s">
        <v>499</v>
      </c>
      <c r="D3" s="2" t="s">
        <v>500</v>
      </c>
      <c r="E3" s="2" t="s">
        <v>501</v>
      </c>
      <c r="F3" s="2" t="s">
        <v>502</v>
      </c>
      <c r="G3" s="2" t="s">
        <v>503</v>
      </c>
      <c r="H3" s="2" t="s">
        <v>504</v>
      </c>
    </row>
    <row r="4" ht="16.5" spans="1:8">
      <c r="A4" s="4" t="s">
        <v>505</v>
      </c>
      <c r="B4" s="4" t="s">
        <v>506</v>
      </c>
      <c r="C4" s="4" t="s">
        <v>507</v>
      </c>
      <c r="D4" s="4" t="s">
        <v>508</v>
      </c>
      <c r="E4" s="4" t="s">
        <v>509</v>
      </c>
      <c r="F4" s="4" t="s">
        <v>510</v>
      </c>
      <c r="G4" s="4" t="s">
        <v>511</v>
      </c>
      <c r="H4" s="4" t="s">
        <v>229</v>
      </c>
    </row>
    <row r="5" ht="16.5" spans="1:8">
      <c r="A5" s="6" t="s">
        <v>512</v>
      </c>
      <c r="B5" s="6" t="s">
        <v>513</v>
      </c>
      <c r="C5" s="6" t="s">
        <v>514</v>
      </c>
      <c r="D5" s="6" t="s">
        <v>293</v>
      </c>
      <c r="E5" s="6" t="s">
        <v>515</v>
      </c>
      <c r="F5" s="6" t="s">
        <v>516</v>
      </c>
      <c r="G5" s="6" t="s">
        <v>517</v>
      </c>
      <c r="H5" s="6" t="s">
        <v>223</v>
      </c>
    </row>
    <row r="6" ht="16.5" spans="1:8">
      <c r="A6" s="4" t="s">
        <v>518</v>
      </c>
      <c r="B6" s="4" t="s">
        <v>519</v>
      </c>
      <c r="C6" s="4" t="s">
        <v>170</v>
      </c>
      <c r="D6" s="4" t="s">
        <v>364</v>
      </c>
      <c r="E6" s="4" t="s">
        <v>520</v>
      </c>
      <c r="F6" s="4" t="s">
        <v>521</v>
      </c>
      <c r="G6" s="4" t="s">
        <v>511</v>
      </c>
      <c r="H6" s="4" t="s">
        <v>170</v>
      </c>
    </row>
    <row r="7" ht="16.5" spans="1:8">
      <c r="A7" s="6" t="s">
        <v>522</v>
      </c>
      <c r="B7" s="6" t="s">
        <v>523</v>
      </c>
      <c r="C7" s="6" t="s">
        <v>514</v>
      </c>
      <c r="D7" s="6" t="s">
        <v>354</v>
      </c>
      <c r="E7" s="6" t="s">
        <v>524</v>
      </c>
      <c r="F7" s="6" t="s">
        <v>525</v>
      </c>
      <c r="G7" s="6" t="s">
        <v>517</v>
      </c>
      <c r="H7" s="6" t="s">
        <v>223</v>
      </c>
    </row>
    <row r="8" ht="16.5" spans="1:8">
      <c r="A8" s="4" t="s">
        <v>526</v>
      </c>
      <c r="B8" s="4" t="s">
        <v>239</v>
      </c>
      <c r="C8" s="4" t="s">
        <v>254</v>
      </c>
      <c r="D8" s="4" t="s">
        <v>527</v>
      </c>
      <c r="E8" s="4" t="s">
        <v>528</v>
      </c>
      <c r="F8" s="4" t="s">
        <v>529</v>
      </c>
      <c r="G8" s="4" t="s">
        <v>511</v>
      </c>
      <c r="H8" s="4" t="s">
        <v>242</v>
      </c>
    </row>
    <row r="9" ht="16.5" spans="1:8">
      <c r="A9" s="6" t="s">
        <v>530</v>
      </c>
      <c r="B9" s="6" t="s">
        <v>220</v>
      </c>
      <c r="C9" s="6" t="s">
        <v>514</v>
      </c>
      <c r="D9" s="6" t="s">
        <v>381</v>
      </c>
      <c r="E9" s="6" t="s">
        <v>531</v>
      </c>
      <c r="F9" s="6" t="s">
        <v>532</v>
      </c>
      <c r="G9" s="6" t="s">
        <v>517</v>
      </c>
      <c r="H9" s="6" t="s">
        <v>223</v>
      </c>
    </row>
    <row r="10" ht="16.5" spans="1:8">
      <c r="A10" s="4" t="s">
        <v>533</v>
      </c>
      <c r="B10" s="4" t="s">
        <v>534</v>
      </c>
      <c r="C10" s="4" t="s">
        <v>514</v>
      </c>
      <c r="D10" s="4" t="s">
        <v>535</v>
      </c>
      <c r="E10" s="4" t="s">
        <v>536</v>
      </c>
      <c r="F10" s="4" t="s">
        <v>537</v>
      </c>
      <c r="G10" s="4" t="s">
        <v>538</v>
      </c>
      <c r="H10" s="4" t="s">
        <v>223</v>
      </c>
    </row>
    <row r="11" ht="16.5" spans="1:8">
      <c r="A11" s="6" t="s">
        <v>539</v>
      </c>
      <c r="B11" s="6" t="s">
        <v>540</v>
      </c>
      <c r="C11" s="6" t="s">
        <v>170</v>
      </c>
      <c r="D11" s="6" t="s">
        <v>364</v>
      </c>
      <c r="E11" s="6" t="s">
        <v>378</v>
      </c>
      <c r="F11" s="6" t="s">
        <v>541</v>
      </c>
      <c r="G11" s="6" t="s">
        <v>511</v>
      </c>
      <c r="H11" s="6" t="s">
        <v>542</v>
      </c>
    </row>
  </sheetData>
  <mergeCells count="1">
    <mergeCell ref="A1:H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xSplit="1" topLeftCell="B1" activePane="topRight" state="frozen"/>
      <selection/>
      <selection pane="topRight" activeCell="A1" sqref="A1:F1"/>
    </sheetView>
  </sheetViews>
  <sheetFormatPr defaultColWidth="9" defaultRowHeight="13.5" outlineLevelCol="5"/>
  <cols>
    <col min="1" max="1" width="12" customWidth="1"/>
    <col min="2" max="2" width="14" customWidth="1"/>
    <col min="3" max="3" width="19" customWidth="1"/>
    <col min="4" max="4" width="45" customWidth="1"/>
    <col min="5" max="5" width="32" customWidth="1"/>
    <col min="6" max="6" width="45" customWidth="1"/>
  </cols>
  <sheetData>
    <row r="1" ht="40" customHeight="1" spans="1:6">
      <c r="A1" s="1" t="s">
        <v>543</v>
      </c>
    </row>
    <row r="3" ht="28" customHeight="1" spans="1:6">
      <c r="A3" s="2" t="s">
        <v>544</v>
      </c>
      <c r="B3" s="2" t="s">
        <v>545</v>
      </c>
      <c r="C3" s="2" t="s">
        <v>546</v>
      </c>
      <c r="D3" s="2" t="s">
        <v>547</v>
      </c>
      <c r="E3" s="2" t="s">
        <v>548</v>
      </c>
      <c r="F3" s="2" t="s">
        <v>549</v>
      </c>
    </row>
    <row r="4" ht="50" customHeight="1" spans="1:6">
      <c r="A4" s="4" t="s">
        <v>130</v>
      </c>
      <c r="B4" s="4" t="s">
        <v>550</v>
      </c>
      <c r="C4" s="4" t="s">
        <v>551</v>
      </c>
      <c r="D4" s="4" t="s">
        <v>552</v>
      </c>
      <c r="E4" s="4" t="s">
        <v>553</v>
      </c>
      <c r="F4" s="4" t="s">
        <v>554</v>
      </c>
    </row>
    <row r="5" ht="50" customHeight="1" spans="1:6">
      <c r="A5" s="6" t="s">
        <v>210</v>
      </c>
      <c r="B5" s="6" t="s">
        <v>261</v>
      </c>
      <c r="C5" s="6" t="s">
        <v>555</v>
      </c>
      <c r="D5" s="6" t="s">
        <v>556</v>
      </c>
      <c r="E5" s="6" t="s">
        <v>557</v>
      </c>
      <c r="F5" s="6" t="s">
        <v>558</v>
      </c>
    </row>
    <row r="6" ht="50" customHeight="1" spans="1:6">
      <c r="A6" s="4" t="s">
        <v>559</v>
      </c>
      <c r="B6" s="4" t="s">
        <v>560</v>
      </c>
      <c r="C6" s="4" t="s">
        <v>561</v>
      </c>
      <c r="D6" s="4" t="s">
        <v>562</v>
      </c>
      <c r="E6" s="4" t="s">
        <v>563</v>
      </c>
      <c r="F6" s="4" t="s">
        <v>564</v>
      </c>
    </row>
    <row r="7" ht="50" customHeight="1" spans="1:6">
      <c r="A7" s="6" t="s">
        <v>565</v>
      </c>
      <c r="B7" s="6" t="s">
        <v>566</v>
      </c>
      <c r="C7" s="6" t="s">
        <v>567</v>
      </c>
      <c r="D7" s="6" t="s">
        <v>568</v>
      </c>
      <c r="E7" s="6" t="s">
        <v>569</v>
      </c>
      <c r="F7" s="6" t="s">
        <v>570</v>
      </c>
    </row>
    <row r="8" ht="50" customHeight="1" spans="1:6">
      <c r="A8" s="4" t="s">
        <v>571</v>
      </c>
      <c r="B8" s="4" t="s">
        <v>572</v>
      </c>
      <c r="C8" s="4" t="s">
        <v>573</v>
      </c>
      <c r="D8" s="4" t="s">
        <v>574</v>
      </c>
      <c r="E8" s="4" t="s">
        <v>575</v>
      </c>
      <c r="F8" s="4" t="s">
        <v>576</v>
      </c>
    </row>
    <row r="9" ht="50" customHeight="1" spans="1:6">
      <c r="A9" s="6" t="s">
        <v>577</v>
      </c>
      <c r="B9" s="6" t="s">
        <v>578</v>
      </c>
      <c r="C9" s="6" t="s">
        <v>579</v>
      </c>
      <c r="D9" s="6" t="s">
        <v>580</v>
      </c>
      <c r="E9" s="6" t="s">
        <v>581</v>
      </c>
      <c r="F9" s="6" t="s">
        <v>582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xSplit="1" topLeftCell="B1" activePane="topRight" state="frozen"/>
      <selection/>
      <selection pane="topRight" activeCell="A1" sqref="A1:H1"/>
    </sheetView>
  </sheetViews>
  <sheetFormatPr defaultColWidth="9" defaultRowHeight="13.5" outlineLevelCol="7"/>
  <cols>
    <col min="1" max="2" width="12" customWidth="1"/>
    <col min="3" max="3" width="38" customWidth="1"/>
    <col min="4" max="6" width="12" customWidth="1"/>
    <col min="7" max="7" width="45" customWidth="1"/>
    <col min="8" max="8" width="14" customWidth="1"/>
  </cols>
  <sheetData>
    <row r="1" ht="40" customHeight="1" spans="1:8">
      <c r="A1" s="1" t="s">
        <v>583</v>
      </c>
    </row>
    <row r="3" ht="28" customHeight="1" spans="1:8">
      <c r="A3" s="2" t="s">
        <v>584</v>
      </c>
      <c r="B3" s="2" t="s">
        <v>585</v>
      </c>
      <c r="C3" s="2" t="s">
        <v>586</v>
      </c>
      <c r="D3" s="2" t="s">
        <v>587</v>
      </c>
      <c r="E3" s="2" t="s">
        <v>588</v>
      </c>
      <c r="F3" s="2" t="s">
        <v>589</v>
      </c>
      <c r="G3" s="2" t="s">
        <v>590</v>
      </c>
      <c r="H3" s="2" t="s">
        <v>591</v>
      </c>
    </row>
    <row r="4" ht="16.5" spans="1:8">
      <c r="A4" s="4" t="s">
        <v>592</v>
      </c>
      <c r="B4" s="4" t="s">
        <v>593</v>
      </c>
      <c r="C4" s="4" t="s">
        <v>594</v>
      </c>
      <c r="D4" s="4" t="s">
        <v>595</v>
      </c>
      <c r="E4" s="4" t="s">
        <v>595</v>
      </c>
      <c r="F4" s="9" t="s">
        <v>595</v>
      </c>
      <c r="G4" s="4" t="s">
        <v>596</v>
      </c>
      <c r="H4" s="4" t="s">
        <v>597</v>
      </c>
    </row>
    <row r="5" ht="16.5" spans="1:8">
      <c r="A5" s="6" t="s">
        <v>598</v>
      </c>
      <c r="B5" s="6" t="s">
        <v>599</v>
      </c>
      <c r="C5" s="6" t="s">
        <v>600</v>
      </c>
      <c r="D5" s="6" t="s">
        <v>601</v>
      </c>
      <c r="E5" s="6" t="s">
        <v>595</v>
      </c>
      <c r="F5" s="9" t="s">
        <v>595</v>
      </c>
      <c r="G5" s="6" t="s">
        <v>602</v>
      </c>
      <c r="H5" s="6" t="s">
        <v>603</v>
      </c>
    </row>
    <row r="6" ht="16.5" spans="1:8">
      <c r="A6" s="4" t="s">
        <v>604</v>
      </c>
      <c r="B6" s="4" t="s">
        <v>605</v>
      </c>
      <c r="C6" s="4" t="s">
        <v>606</v>
      </c>
      <c r="D6" s="4" t="s">
        <v>601</v>
      </c>
      <c r="E6" s="4" t="s">
        <v>601</v>
      </c>
      <c r="F6" s="10" t="s">
        <v>601</v>
      </c>
      <c r="G6" s="4" t="s">
        <v>607</v>
      </c>
      <c r="H6" s="4" t="s">
        <v>597</v>
      </c>
    </row>
    <row r="7" ht="16.5" spans="1:8">
      <c r="A7" s="6" t="s">
        <v>608</v>
      </c>
      <c r="B7" s="6" t="s">
        <v>609</v>
      </c>
      <c r="C7" s="6" t="s">
        <v>610</v>
      </c>
      <c r="D7" s="6" t="s">
        <v>611</v>
      </c>
      <c r="E7" s="6" t="s">
        <v>601</v>
      </c>
      <c r="F7" s="11" t="s">
        <v>611</v>
      </c>
      <c r="G7" s="6" t="s">
        <v>612</v>
      </c>
      <c r="H7" s="6" t="s">
        <v>613</v>
      </c>
    </row>
    <row r="8" ht="16.5" spans="1:8">
      <c r="A8" s="4" t="s">
        <v>614</v>
      </c>
      <c r="B8" s="4" t="s">
        <v>615</v>
      </c>
      <c r="C8" s="4" t="s">
        <v>616</v>
      </c>
      <c r="D8" s="4" t="s">
        <v>601</v>
      </c>
      <c r="E8" s="4" t="s">
        <v>601</v>
      </c>
      <c r="F8" s="10" t="s">
        <v>601</v>
      </c>
      <c r="G8" s="4" t="s">
        <v>617</v>
      </c>
      <c r="H8" s="4" t="s">
        <v>613</v>
      </c>
    </row>
    <row r="9" ht="16.5" spans="1:8">
      <c r="A9" s="6" t="s">
        <v>618</v>
      </c>
      <c r="B9" s="6" t="s">
        <v>619</v>
      </c>
      <c r="C9" s="6" t="s">
        <v>620</v>
      </c>
      <c r="D9" s="6" t="s">
        <v>611</v>
      </c>
      <c r="E9" s="6" t="s">
        <v>611</v>
      </c>
      <c r="F9" s="11" t="s">
        <v>611</v>
      </c>
      <c r="G9" s="6" t="s">
        <v>621</v>
      </c>
      <c r="H9" s="6" t="s">
        <v>613</v>
      </c>
    </row>
  </sheetData>
  <mergeCells count="1">
    <mergeCell ref="A1:H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pane xSplit="1" topLeftCell="B1" activePane="topRight" state="frozen"/>
      <selection/>
      <selection pane="topRight" activeCell="D21" sqref="D21"/>
    </sheetView>
  </sheetViews>
  <sheetFormatPr defaultColWidth="9" defaultRowHeight="13.5" outlineLevelCol="4"/>
  <cols>
    <col min="1" max="1" width="45" customWidth="1"/>
    <col min="2" max="2" width="12" customWidth="1"/>
    <col min="3" max="5" width="26" customWidth="1"/>
  </cols>
  <sheetData>
    <row r="1" ht="40" customHeight="1" spans="1:5">
      <c r="A1" s="1" t="s">
        <v>622</v>
      </c>
    </row>
    <row r="3" ht="28" customHeight="1" spans="1:5">
      <c r="A3" s="2" t="s">
        <v>623</v>
      </c>
      <c r="B3" s="2" t="s">
        <v>624</v>
      </c>
      <c r="C3" s="2" t="s">
        <v>625</v>
      </c>
      <c r="D3" s="2" t="s">
        <v>626</v>
      </c>
      <c r="E3" s="2" t="s">
        <v>74</v>
      </c>
    </row>
    <row r="4" ht="16.5" spans="1:5">
      <c r="A4" s="3" t="s">
        <v>627</v>
      </c>
      <c r="B4" s="4" t="s">
        <v>628</v>
      </c>
      <c r="C4" s="4" t="s">
        <v>629</v>
      </c>
      <c r="D4" s="4" t="s">
        <v>630</v>
      </c>
      <c r="E4" s="4" t="s">
        <v>631</v>
      </c>
    </row>
    <row r="5" ht="16.5" spans="1:5">
      <c r="A5" s="5" t="s">
        <v>632</v>
      </c>
      <c r="B5" s="6" t="s">
        <v>633</v>
      </c>
      <c r="C5" s="6" t="s">
        <v>634</v>
      </c>
      <c r="D5" s="6" t="s">
        <v>635</v>
      </c>
      <c r="E5" s="6" t="s">
        <v>636</v>
      </c>
    </row>
    <row r="6" ht="16.5" spans="1:5">
      <c r="A6" s="3" t="s">
        <v>637</v>
      </c>
      <c r="B6" s="4" t="s">
        <v>638</v>
      </c>
      <c r="C6" s="4" t="s">
        <v>639</v>
      </c>
      <c r="D6" s="4" t="s">
        <v>640</v>
      </c>
      <c r="E6" s="4" t="s">
        <v>641</v>
      </c>
    </row>
    <row r="7" ht="16.5" spans="1:5">
      <c r="A7" s="5" t="s">
        <v>642</v>
      </c>
      <c r="B7" s="6" t="s">
        <v>643</v>
      </c>
      <c r="C7" s="6" t="s">
        <v>639</v>
      </c>
      <c r="D7" s="6" t="s">
        <v>644</v>
      </c>
      <c r="E7" s="6" t="s">
        <v>645</v>
      </c>
    </row>
    <row r="8" ht="16.5" spans="1:5">
      <c r="A8" s="3" t="s">
        <v>646</v>
      </c>
      <c r="B8" s="4" t="s">
        <v>643</v>
      </c>
      <c r="C8" s="4" t="s">
        <v>647</v>
      </c>
      <c r="D8" s="4" t="s">
        <v>647</v>
      </c>
      <c r="E8" s="4" t="s">
        <v>648</v>
      </c>
    </row>
    <row r="9" ht="16.5" spans="1:5">
      <c r="A9" s="5" t="s">
        <v>649</v>
      </c>
      <c r="B9" s="6" t="s">
        <v>650</v>
      </c>
      <c r="C9" s="6" t="s">
        <v>651</v>
      </c>
      <c r="D9" s="6" t="s">
        <v>651</v>
      </c>
      <c r="E9" s="6" t="s">
        <v>652</v>
      </c>
    </row>
    <row r="10" ht="16.5" spans="1:5">
      <c r="A10" s="3" t="s">
        <v>653</v>
      </c>
      <c r="B10" s="4" t="s">
        <v>654</v>
      </c>
      <c r="C10" s="4" t="s">
        <v>655</v>
      </c>
      <c r="D10" s="4" t="s">
        <v>655</v>
      </c>
      <c r="E10" s="4" t="s">
        <v>656</v>
      </c>
    </row>
    <row r="11" ht="16.5" spans="1:5">
      <c r="A11" s="5" t="s">
        <v>657</v>
      </c>
      <c r="B11" s="6" t="s">
        <v>654</v>
      </c>
      <c r="C11" s="6" t="s">
        <v>658</v>
      </c>
      <c r="D11" s="6" t="s">
        <v>658</v>
      </c>
      <c r="E11" s="6" t="s">
        <v>659</v>
      </c>
    </row>
    <row r="13" ht="18" spans="1:5">
      <c r="A13" s="7" t="s">
        <v>660</v>
      </c>
    </row>
    <row r="14" ht="36" customHeight="1" spans="1:5">
      <c r="A14" s="8" t="s">
        <v>661</v>
      </c>
    </row>
  </sheetData>
  <mergeCells count="3">
    <mergeCell ref="A1:E1"/>
    <mergeCell ref="A13:E13"/>
    <mergeCell ref="A14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项目概览</vt:lpstr>
      <vt:lpstr>业务流程分析</vt:lpstr>
      <vt:lpstr>解决方案架构</vt:lpstr>
      <vt:lpstr>功能模块清单</vt:lpstr>
      <vt:lpstr>数据模型设计</vt:lpstr>
      <vt:lpstr>审批流程设计</vt:lpstr>
      <vt:lpstr>AI能力应用</vt:lpstr>
      <vt:lpstr>权限体系</vt:lpstr>
      <vt:lpstr>报表看板设计</vt:lpstr>
      <vt:lpstr>实施路径</vt:lpstr>
      <vt:lpstr>风险评估</vt:lpstr>
      <vt:lpstr>成本估算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无恒39139</cp:lastModifiedBy>
  <dcterms:created xsi:type="dcterms:W3CDTF">2026-06-06T02:27:00Z</dcterms:created>
  <dcterms:modified xsi:type="dcterms:W3CDTF">2026-06-06T07:40:06Z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7D3B21B9F39B4AC39A32180F02AD99A0_12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